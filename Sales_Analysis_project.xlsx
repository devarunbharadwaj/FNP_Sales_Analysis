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varun bharadwaj\Downloads\Data Analytics\Projects\Excel projects\Ecommerce\"/>
    </mc:Choice>
  </mc:AlternateContent>
  <xr:revisionPtr revIDLastSave="0" documentId="8_{9BF075AF-52C9-4BA7-98FE-FA1ACE7D3214}" xr6:coauthVersionLast="47" xr6:coauthVersionMax="47" xr10:uidLastSave="{00000000-0000-0000-0000-000000000000}"/>
  <bookViews>
    <workbookView xWindow="-108" yWindow="-108" windowWidth="23256" windowHeight="12456" firstSheet="1" activeTab="5" xr2:uid="{75D00724-14E5-4614-93E5-D4546FB6BBB5}"/>
  </bookViews>
  <sheets>
    <sheet name="Ecommerce"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Ecommerce!$A$1:$F$4</definedName>
    <definedName name="ExternalData_3" localSheetId="1" hidden="1">'customers'!$A$1:$G$101</definedName>
    <definedName name="ExternalData_4" localSheetId="2" hidden="1">orders!$A$1:$Q$1001</definedName>
    <definedName name="ExternalData_5" localSheetId="3" hidden="1">products!$A$1:$E$71</definedName>
    <definedName name="Slicer_Occasion">#N/A</definedName>
    <definedName name="Timeline_Delivery_Date">#N/A</definedName>
    <definedName name="Timeline_Order_Date">#N/A</definedName>
  </definedNames>
  <calcPr calcId="191029"/>
  <pivotCaches>
    <pivotCache cacheId="719" r:id="rId7"/>
    <pivotCache cacheId="766" r:id="rId8"/>
    <pivotCache cacheId="769" r:id="rId9"/>
    <pivotCache cacheId="772" r:id="rId10"/>
    <pivotCache cacheId="775" r:id="rId11"/>
    <pivotCache cacheId="778" r:id="rId12"/>
    <pivotCache cacheId="781" r:id="rId13"/>
    <pivotCache cacheId="784" r:id="rId14"/>
  </pivotCaches>
  <fileRecoveryPr repairLoad="1"/>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d581b487-2691-49f5-89eb-5a17105c4053" name="customers" connection="Query - customers"/>
          <x15:modelTable id="orders_7ed78382-2f4d-4e3b-b30d-b0a35948e1dd" name="orders" connection="Query - orders"/>
          <x15:modelTable id="products_26966536-8362-41c0-af55-f9a73bb7a6d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C40CF4-3EE5-4975-9594-8290E6A45134}"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B22687A-748D-4084-84F0-1C38430AC653}"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BCA30CCB-DA88-4EBF-8798-1BDA6D5ED129}"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4F077C33-E10F-40A0-8C2F-66A33017CA68}" name="Query - customers" description="Connection to the 'customers' query in the workbook." type="100" refreshedVersion="8" minRefreshableVersion="5">
    <extLst>
      <ext xmlns:x15="http://schemas.microsoft.com/office/spreadsheetml/2010/11/main" uri="{DE250136-89BD-433C-8126-D09CA5730AF9}">
        <x15:connection id="d15a79cc-6d52-4294-82fe-0fdd52919509"/>
      </ext>
    </extLst>
  </connection>
  <connection id="5" xr16:uid="{11A51C44-13E0-493A-8295-6751B84A72C9}" keepAlive="1" name="Query - Ecommerce" description="Connection to the 'Ecommerce' query in the workbook." type="5" refreshedVersion="8" background="1" saveData="1">
    <dbPr connection="Provider=Microsoft.Mashup.OleDb.1;Data Source=$Workbook$;Location=Ecommerce;Extended Properties=&quot;&quot;" command="SELECT * FROM [Ecommerce]"/>
  </connection>
  <connection id="6" xr16:uid="{793405AF-5031-4012-82F2-1322D4FA1562}" name="Query - orders" description="Connection to the 'orders' query in the workbook." type="100" refreshedVersion="8" minRefreshableVersion="5">
    <extLst>
      <ext xmlns:x15="http://schemas.microsoft.com/office/spreadsheetml/2010/11/main" uri="{DE250136-89BD-433C-8126-D09CA5730AF9}">
        <x15:connection id="a0dd4522-dcd5-420f-878c-505b6267f470"/>
      </ext>
    </extLst>
  </connection>
  <connection id="7" xr16:uid="{228595BA-69B5-42A6-8E71-7275AB187061}" name="Query - products" description="Connection to the 'products' query in the workbook." type="100" refreshedVersion="8" minRefreshableVersion="5">
    <extLst>
      <ext xmlns:x15="http://schemas.microsoft.com/office/spreadsheetml/2010/11/main" uri="{DE250136-89BD-433C-8126-D09CA5730AF9}">
        <x15:connection id="35be2012-2d84-488e-ac2a-8601a6e55e98"/>
      </ext>
    </extLst>
  </connection>
  <connection id="8" xr16:uid="{A73DD759-E839-4F45-A07C-A2C0857355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<sst xmlns="http://schemas.openxmlformats.org/spreadsheetml/2006/main" count="6033" uniqueCount="951">
  <si>
    <t>Name</t>
  </si>
  <si>
    <t>Extension</t>
  </si>
  <si>
    <t>Date accessed</t>
  </si>
  <si>
    <t>Date modified</t>
  </si>
  <si>
    <t>Date created</t>
  </si>
  <si>
    <t>Folder Path</t>
  </si>
  <si>
    <t>customers.csv</t>
  </si>
  <si>
    <t>.csv</t>
  </si>
  <si>
    <t>C:\Users\devarun bharadwaj\Downloads\Data Analytics\Projects\Excel projects\Ecommerce\</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</si>
  <si>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</si>
  <si>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</si>
  <si>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</si>
  <si>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</si>
  <si>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</si>
  <si>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</si>
  <si>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</si>
  <si>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</si>
  <si>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</si>
  <si>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</si>
  <si>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</si>
  <si>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</si>
  <si>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</si>
  <si>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</si>
  <si>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</si>
  <si>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</si>
  <si>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</si>
  <si>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</si>
  <si>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</si>
  <si>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</si>
  <si>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</si>
  <si>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</si>
  <si>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</si>
  <si>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</si>
  <si>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</si>
  <si>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</si>
  <si>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</si>
  <si>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</si>
  <si>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</si>
  <si>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</si>
  <si>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</si>
  <si>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</si>
  <si>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</si>
  <si>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</si>
  <si>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</si>
  <si>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</si>
  <si>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</si>
  <si>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</si>
  <si>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</si>
  <si>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</si>
  <si>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</si>
  <si>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</si>
  <si>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</si>
  <si>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</si>
  <si>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</si>
  <si>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</si>
  <si>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</si>
  <si>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</si>
  <si>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</si>
  <si>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</si>
  <si>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</si>
  <si>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</si>
  <si>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</si>
  <si>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</si>
  <si>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</si>
  <si>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</si>
  <si>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</si>
  <si>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</si>
  <si>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</si>
  <si>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</si>
  <si>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</si>
  <si>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</si>
  <si>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</si>
  <si>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</si>
  <si>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</si>
  <si>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</si>
  <si>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</si>
  <si>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</si>
  <si>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</si>
  <si>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</si>
  <si>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</si>
  <si>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</si>
  <si>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</si>
  <si>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</si>
  <si>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</si>
  <si>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</si>
  <si>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</si>
  <si>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</si>
  <si>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</si>
  <si>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</si>
  <si>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</si>
  <si>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</si>
  <si>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</si>
  <si>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</si>
  <si>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</si>
  <si>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</si>
  <si>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</si>
  <si>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</si>
  <si>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</si>
  <si>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</si>
  <si>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</si>
  <si>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</si>
  <si>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</si>
  <si>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</si>
  <si>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</si>
  <si>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</si>
  <si>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</si>
  <si>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</si>
  <si>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</si>
  <si>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</si>
  <si>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</si>
  <si>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</si>
  <si>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</si>
  <si>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</si>
  <si>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</si>
  <si>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</si>
  <si>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</si>
  <si>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</si>
  <si>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</si>
  <si>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</si>
  <si>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</si>
  <si>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</si>
  <si>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</si>
  <si>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</si>
  <si>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</si>
  <si>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</si>
  <si>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</si>
  <si>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</si>
  <si>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</si>
  <si>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</si>
  <si>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</si>
  <si>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</si>
  <si>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</si>
  <si>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</si>
  <si>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</si>
  <si>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</si>
  <si>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</si>
  <si>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</si>
  <si>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</si>
  <si>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</si>
  <si>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</si>
  <si>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</si>
  <si>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</si>
  <si>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</si>
  <si>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</si>
  <si>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</si>
  <si>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</si>
  <si>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</si>
  <si>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</si>
  <si>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</si>
  <si>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</si>
  <si>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</si>
  <si>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</si>
  <si>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</si>
  <si>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</si>
  <si>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</si>
  <si>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</si>
  <si>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</si>
  <si>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</si>
  <si>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</si>
  <si>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</si>
  <si>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</si>
  <si>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</si>
  <si>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</si>
  <si>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</si>
  <si>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</si>
  <si>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</si>
  <si>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</si>
  <si>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</si>
  <si>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</si>
  <si>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</si>
  <si>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</si>
  <si>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</si>
  <si>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</si>
  <si>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</si>
  <si>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</si>
  <si>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</si>
  <si>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</si>
  <si>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</si>
  <si>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</si>
  <si>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</si>
  <si>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</si>
  <si>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</si>
  <si>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</si>
  <si>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</si>
  <si>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</si>
  <si>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</si>
  <si>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</si>
  <si>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</si>
  <si>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</si>
  <si>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</si>
  <si>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</si>
  <si>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</si>
  <si>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</si>
  <si>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</si>
  <si>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</si>
  <si>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</si>
  <si>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</si>
  <si>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</si>
  <si>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</si>
  <si>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</si>
  <si>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</si>
  <si>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</si>
  <si>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</si>
  <si>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</si>
  <si>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</si>
  <si>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</si>
  <si>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</si>
  <si>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</si>
  <si>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</si>
  <si>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</si>
  <si>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</si>
  <si>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</si>
  <si>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</si>
  <si>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</si>
  <si>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</si>
  <si>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</si>
  <si>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</si>
  <si>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</si>
  <si>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</si>
  <si>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</si>
  <si>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</si>
  <si>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</si>
  <si>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</si>
  <si>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</si>
  <si>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</si>
  <si>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</si>
  <si>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</si>
  <si>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</si>
  <si>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</si>
  <si>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</si>
  <si>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</si>
  <si>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</si>
  <si>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</si>
  <si>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</si>
  <si>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</si>
  <si>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</si>
  <si>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</si>
  <si>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</si>
  <si>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</si>
  <si>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</si>
  <si>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</si>
  <si>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</si>
  <si>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</si>
  <si>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</si>
  <si>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</si>
  <si>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</si>
  <si>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</si>
  <si>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</si>
  <si>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</si>
  <si>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</si>
  <si>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</si>
  <si>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</si>
  <si>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</si>
  <si>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</si>
  <si>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</si>
  <si>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</si>
  <si>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</si>
  <si>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</si>
  <si>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</si>
  <si>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</si>
  <si>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</si>
  <si>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</si>
  <si>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</si>
  <si>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</si>
  <si>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</si>
  <si>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</si>
  <si>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</si>
  <si>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</si>
  <si>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</si>
  <si>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</si>
  <si>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</si>
  <si>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</si>
  <si>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</si>
  <si>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</si>
  <si>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</si>
  <si>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</si>
  <si>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</si>
  <si>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</si>
  <si>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</si>
  <si>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</si>
  <si>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</si>
  <si>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</si>
  <si>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</si>
  <si>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</si>
  <si>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</si>
  <si>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</si>
  <si>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</si>
  <si>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</si>
  <si>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</si>
  <si>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</si>
  <si>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</si>
  <si>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</si>
  <si>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</si>
  <si>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</si>
  <si>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</si>
  <si>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</si>
  <si>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</si>
  <si>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</si>
  <si>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</si>
  <si>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</si>
  <si>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</si>
  <si>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</si>
  <si>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</si>
  <si>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</si>
  <si>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</si>
  <si>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</si>
  <si>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</si>
  <si>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</si>
  <si>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</si>
  <si>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</si>
  <si>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</si>
  <si>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</si>
  <si>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</si>
  <si>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</si>
  <si>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</si>
  <si>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</si>
  <si>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</si>
  <si>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</si>
  <si>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</si>
  <si>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</si>
  <si>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</si>
  <si>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</si>
  <si>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</si>
  <si>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</si>
  <si>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</si>
  <si>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</si>
  <si>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</si>
  <si>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</si>
  <si>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</si>
  <si>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</si>
  <si>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</si>
  <si>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</si>
  <si>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</si>
  <si>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</si>
  <si>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</si>
  <si>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</si>
  <si>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</si>
  <si>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</si>
  <si>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</si>
  <si>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</si>
  <si>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</si>
  <si>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</si>
  <si>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</si>
  <si>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</si>
  <si>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</si>
  <si>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</si>
  <si>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</si>
  <si>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</si>
  <si>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</si>
  <si>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</si>
  <si>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</si>
  <si>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</si>
  <si>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</si>
  <si>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</si>
  <si>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</si>
  <si>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</si>
  <si>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</si>
  <si>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</si>
  <si>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</si>
  <si>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</si>
  <si>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</si>
  <si>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</si>
  <si>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</si>
  <si>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</si>
  <si>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</si>
  <si>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</si>
  <si>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</si>
  <si>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</si>
  <si>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</si>
  <si>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</si>
  <si>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</si>
  <si>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</si>
  <si>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</si>
  <si>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</si>
  <si>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</si>
  <si>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</si>
  <si>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</si>
  <si>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</si>
  <si>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</si>
  <si>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</si>
  <si>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</si>
  <si>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</si>
  <si>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</si>
  <si>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</si>
  <si>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</si>
  <si>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</si>
  <si>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</si>
  <si>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</si>
  <si>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</si>
  <si>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</si>
  <si>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</si>
  <si>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</si>
  <si>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</si>
  <si>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</si>
  <si>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</si>
  <si>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</si>
  <si>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</si>
  <si>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</si>
  <si>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</si>
  <si>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</si>
  <si>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</si>
  <si>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</si>
  <si>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</si>
  <si>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</si>
  <si>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</si>
  <si>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</si>
  <si>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</si>
  <si>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</si>
  <si>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</si>
  <si>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</si>
  <si>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</si>
  <si>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</si>
  <si>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</si>
  <si>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</si>
  <si>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</si>
  <si>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</si>
  <si>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</si>
  <si>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</si>
  <si>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</si>
  <si>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</si>
  <si>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</si>
  <si>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</si>
  <si>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</si>
  <si>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</si>
  <si>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</si>
  <si>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</si>
  <si>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</si>
  <si>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</si>
  <si>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</si>
  <si>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</si>
  <si>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</si>
  <si>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</si>
  <si>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</si>
  <si>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</si>
  <si>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</si>
  <si>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</si>
  <si>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</si>
  <si>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</si>
  <si>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</si>
  <si>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</si>
  <si>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</si>
  <si>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</si>
  <si>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</si>
  <si>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</si>
  <si>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</si>
  <si>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</si>
  <si>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</si>
  <si>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</si>
  <si>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</si>
  <si>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</si>
  <si>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</si>
  <si>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</si>
  <si>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</si>
  <si>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</si>
  <si>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</si>
  <si>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</si>
  <si>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</si>
  <si>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</si>
  <si>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</si>
  <si>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</si>
  <si>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</si>
  <si>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</si>
  <si>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</si>
  <si>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</si>
  <si>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</si>
  <si>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</si>
  <si>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</si>
  <si>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</si>
  <si>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</si>
  <si>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</si>
  <si>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</si>
  <si>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</si>
  <si>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</si>
  <si>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</si>
  <si>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</si>
  <si>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</si>
  <si>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</si>
  <si>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</si>
  <si>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</si>
  <si>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</si>
  <si>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</si>
  <si>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</si>
  <si>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</si>
  <si>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</si>
  <si>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</si>
  <si>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</si>
  <si>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</si>
  <si>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</si>
  <si>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</si>
  <si>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</si>
  <si>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</si>
  <si>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</si>
  <si>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</si>
  <si>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</si>
  <si>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</si>
  <si>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</si>
  <si>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</si>
  <si>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</si>
  <si>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</si>
  <si>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</si>
  <si>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</si>
  <si>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</si>
  <si>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</si>
  <si>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</si>
  <si>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</si>
  <si>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</si>
  <si>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</si>
  <si>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</si>
  <si>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</si>
  <si>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</si>
  <si>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</si>
  <si>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</si>
  <si>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</si>
  <si>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</si>
  <si>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</si>
  <si>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</si>
  <si>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</si>
  <si>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</si>
  <si>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</si>
  <si>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</si>
  <si>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</si>
  <si>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</si>
  <si>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</si>
  <si>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</si>
  <si>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</si>
  <si>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</si>
  <si>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</si>
  <si>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</si>
  <si>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</si>
  <si>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</si>
  <si>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</si>
  <si>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</si>
  <si>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</si>
  <si>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</si>
  <si>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</si>
  <si>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</si>
  <si>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</si>
  <si>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</si>
  <si>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</si>
  <si>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</si>
  <si>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</si>
  <si>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</si>
  <si>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</si>
  <si>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</si>
  <si>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</si>
  <si>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</si>
  <si>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</si>
  <si>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</si>
  <si>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</si>
  <si>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</si>
  <si>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</si>
  <si>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</si>
  <si>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</si>
  <si>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</si>
  <si>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</si>
  <si>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</si>
  <si>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</si>
  <si>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</si>
  <si>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</si>
  <si>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</si>
  <si>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</si>
  <si>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</si>
  <si>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</si>
  <si>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</si>
  <si>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</si>
  <si>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</si>
  <si>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</si>
  <si>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</si>
  <si>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</si>
  <si>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</si>
  <si>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</si>
  <si>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</si>
  <si>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</si>
  <si>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</si>
  <si>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</si>
  <si>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</si>
  <si>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</si>
  <si>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</si>
  <si>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</si>
  <si>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</si>
  <si>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</si>
  <si>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</si>
  <si>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</si>
  <si>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</si>
  <si>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</si>
  <si>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</si>
  <si>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</si>
  <si>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</si>
  <si>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</si>
  <si>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</si>
  <si>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</si>
  <si>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</si>
  <si>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</si>
  <si>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</si>
  <si>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</si>
  <si>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</si>
  <si>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</si>
  <si>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</si>
  <si>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</si>
  <si>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</si>
  <si>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</si>
  <si>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</si>
  <si>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</si>
  <si>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</si>
  <si>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</si>
  <si>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</si>
  <si>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</si>
  <si>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</si>
  <si>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</si>
  <si>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</si>
  <si>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</si>
  <si>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</si>
  <si>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</si>
  <si>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</si>
  <si>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</si>
  <si>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</si>
  <si>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</si>
  <si>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</si>
  <si>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</si>
  <si>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</si>
  <si>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</si>
  <si>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</si>
  <si>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</si>
  <si>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</si>
  <si>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</si>
  <si>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</si>
  <si>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</si>
  <si>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</si>
  <si>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</si>
  <si>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</si>
  <si>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</si>
  <si>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</si>
  <si>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</si>
  <si>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</si>
  <si>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</si>
  <si>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</si>
  <si>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</si>
  <si>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</si>
  <si>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</si>
  <si>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</si>
  <si>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</si>
  <si>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</si>
  <si>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</si>
  <si>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</si>
  <si>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</si>
  <si>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</si>
  <si>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</si>
  <si>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</si>
  <si>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</si>
  <si>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</si>
  <si>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</si>
  <si>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</si>
  <si>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</si>
  <si>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</si>
  <si>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</si>
  <si>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</si>
  <si>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</si>
  <si>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</si>
  <si>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</si>
  <si>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</si>
  <si>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</si>
  <si>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</si>
  <si>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</si>
  <si>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</si>
  <si>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</si>
  <si>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</si>
  <si>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</si>
  <si>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</si>
  <si>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</si>
  <si>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</si>
  <si>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</si>
  <si>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</si>
  <si>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</si>
  <si>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</si>
  <si>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</si>
  <si>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</si>
  <si>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</si>
  <si>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</si>
  <si>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</si>
  <si>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</si>
  <si>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</si>
  <si>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</si>
  <si>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</si>
  <si>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</si>
  <si>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</si>
  <si>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</si>
  <si>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</si>
  <si>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</si>
  <si>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</si>
  <si>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</si>
  <si>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</si>
  <si>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</si>
  <si>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</si>
  <si>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</si>
  <si>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</si>
  <si>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</si>
  <si>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</si>
  <si>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</si>
  <si>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Hour (order time)</t>
  </si>
  <si>
    <t>diff_order_delivery</t>
  </si>
  <si>
    <t>Hour( delivery 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</si>
  <si>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</si>
  <si>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</si>
  <si>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</si>
  <si>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</si>
  <si>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</si>
  <si>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</si>
  <si>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</si>
  <si>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</si>
  <si>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</si>
  <si>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</si>
  <si>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</si>
  <si>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</si>
  <si>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</si>
  <si>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</si>
  <si>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</si>
  <si>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</si>
  <si>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</si>
  <si>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</si>
  <si>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</si>
  <si>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</si>
  <si>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</si>
  <si>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</si>
  <si>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</si>
  <si>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</si>
  <si>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</si>
  <si>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</si>
  <si>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</si>
  <si>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</si>
  <si>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</si>
  <si>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</si>
  <si>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</si>
  <si>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</si>
  <si>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</si>
  <si>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</si>
  <si>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</si>
  <si>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</si>
  <si>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</si>
  <si>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</si>
  <si>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</si>
  <si>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</si>
  <si>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</si>
  <si>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</si>
  <si>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</si>
  <si>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</si>
  <si>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</si>
  <si>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</si>
  <si>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</si>
  <si>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</si>
  <si>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</si>
  <si>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</si>
  <si>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</si>
  <si>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</si>
  <si>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</si>
  <si>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</si>
  <si>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</si>
  <si>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</si>
  <si>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</si>
  <si>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</si>
  <si>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</si>
  <si>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</si>
  <si>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</si>
  <si>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</si>
  <si>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</si>
  <si>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</si>
  <si>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</si>
  <si>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</si>
  <si>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</si>
  <si>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</si>
  <si>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</si>
  <si>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</si>
  <si>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</si>
  <si>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</si>
  <si>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</si>
  <si>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</si>
  <si>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</si>
  <si>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</si>
  <si>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</si>
  <si>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</si>
  <si>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</si>
  <si>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</si>
  <si>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</si>
  <si>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</si>
  <si>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</si>
  <si>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</si>
  <si>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</si>
  <si>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</si>
  <si>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</si>
  <si>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</si>
  <si>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</si>
  <si>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</si>
  <si>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</si>
  <si>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</si>
  <si>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</si>
  <si>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</si>
  <si>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</si>
  <si>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</si>
  <si>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</si>
  <si>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</si>
  <si>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</si>
  <si>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</si>
  <si>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</si>
  <si>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</si>
  <si>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</si>
  <si>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</si>
  <si>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</si>
  <si>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</si>
  <si>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</si>
  <si>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</si>
  <si>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</si>
  <si>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</si>
  <si>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</si>
  <si>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</si>
  <si>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</si>
  <si>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</si>
  <si>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</si>
  <si>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</si>
  <si>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</si>
  <si>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</si>
  <si>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</si>
  <si>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</si>
  <si>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</si>
  <si>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</si>
  <si>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</si>
  <si>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</si>
  <si>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</si>
  <si>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</si>
  <si>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</si>
  <si>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</si>
  <si>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</si>
  <si>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</si>
  <si>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</si>
  <si>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</si>
  <si>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</si>
  <si>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</si>
  <si>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</si>
  <si>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</si>
  <si>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</si>
  <si>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</si>
  <si>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</si>
  <si>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</si>
  <si>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</si>
  <si>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</si>
  <si>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</si>
  <si>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</si>
  <si>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</si>
  <si>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</si>
  <si>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</si>
  <si>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</si>
  <si>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</si>
  <si>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</si>
  <si>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</si>
  <si>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</si>
  <si>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</si>
  <si>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</si>
  <si>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</si>
  <si>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</si>
  <si>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</si>
  <si>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</si>
  <si>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</si>
  <si>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</si>
  <si>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</si>
  <si>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</si>
  <si>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</si>
  <si>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</si>
  <si>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</si>
  <si>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</si>
  <si>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</si>
  <si>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</si>
  <si>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</si>
  <si>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</si>
  <si>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</si>
  <si>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</si>
  <si>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</si>
  <si>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</si>
  <si>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</si>
  <si>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</si>
  <si>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</si>
  <si>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</si>
  <si>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</si>
  <si>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</si>
  <si>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</si>
  <si>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</si>
  <si>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</si>
  <si>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</si>
  <si>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</si>
  <si>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</si>
  <si>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</si>
  <si>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</si>
  <si>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</si>
  <si>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</si>
  <si>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</si>
  <si>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</si>
  <si>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</si>
  <si>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</si>
  <si>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</si>
  <si>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</si>
  <si>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</si>
  <si>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</si>
  <si>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</si>
  <si>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</si>
  <si>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</si>
  <si>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</si>
  <si>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</si>
  <si>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</si>
  <si>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</si>
  <si>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</si>
  <si>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</si>
  <si>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</si>
  <si>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</si>
  <si>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</si>
  <si>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</si>
  <si>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</si>
  <si>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</si>
  <si>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</si>
  <si>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</si>
  <si>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</si>
  <si>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</si>
  <si>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</si>
  <si>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</si>
  <si>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</si>
  <si>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</si>
  <si>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</si>
  <si>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</si>
  <si>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</si>
  <si>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</si>
  <si>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</si>
  <si>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</si>
  <si>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</si>
  <si>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</si>
  <si>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</si>
  <si>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Khora</t>
  </si>
  <si>
    <t>Row Labels</t>
  </si>
  <si>
    <t>Grand Total</t>
  </si>
  <si>
    <t>Revenue</t>
  </si>
  <si>
    <t>Order_day</t>
  </si>
  <si>
    <t>Saturday</t>
  </si>
  <si>
    <t>Wednesday</t>
  </si>
  <si>
    <t>Friday</t>
  </si>
  <si>
    <t>Sunday</t>
  </si>
  <si>
    <t>Monday</t>
  </si>
  <si>
    <t>Tuesday</t>
  </si>
  <si>
    <t>Thursday</t>
  </si>
  <si>
    <t>Sum of Revenue</t>
  </si>
  <si>
    <t>Average of diff_order_delivery</t>
  </si>
  <si>
    <t>Average of customer spending</t>
  </si>
  <si>
    <t>Count of Order_ID</t>
  </si>
  <si>
    <t>strongly negative=-1</t>
  </si>
  <si>
    <t>strongly positive= 1</t>
  </si>
  <si>
    <t>neutral= near zero</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</si>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</sst>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0.00000"/>
    <numFmt numFmtId="168"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 fontId="0" fillId="0" borderId="0" xfId="0" pivotButton="1" applyNumberFormat="1"/>
    <xf numFmtId="4" fontId="0" fillId="0" borderId="0" xfId="0" applyNumberFormat="1"/>
    <xf numFmtId="4" fontId="0" fillId="0" borderId="0" xfId="0" applyNumberFormat="1" applyAlignment="1">
      <alignment horizontal="left"/>
    </xf>
    <xf numFmtId="166" fontId="0" fillId="0" borderId="0" xfId="0" applyNumberFormat="1"/>
    <xf numFmtId="0" fontId="0" fillId="0" borderId="0" xfId="0" applyNumberFormat="1"/>
    <xf numFmtId="168" fontId="0" fillId="0" borderId="0" xfId="0" applyNumberFormat="1"/>
    <xf numFmtId="0" fontId="0" fillId="2" borderId="0" xfId="0" applyFill="1"/>
  </cellXfs>
  <cellStyles count="1">
    <cellStyle name="Normal" xfId="0" builtinId="0"/>
  </cellStyles>
  <dxfs count="832">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a:t>
            </a:r>
            <a:r>
              <a:rPr lang="en-IN"/>
              <a:t>Occasions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cat>
            <c:strRef>
              <c:f>Sheet1!$H$18:$H$25</c:f>
              <c:strCache>
                <c:ptCount val="7"/>
                <c:pt idx="0">
                  <c:v>All Occasions</c:v>
                </c:pt>
                <c:pt idx="1">
                  <c:v>Anniversary</c:v>
                </c:pt>
                <c:pt idx="2">
                  <c:v>Birthday</c:v>
                </c:pt>
                <c:pt idx="3">
                  <c:v>Diwali</c:v>
                </c:pt>
                <c:pt idx="4">
                  <c:v>Holi</c:v>
                </c:pt>
                <c:pt idx="5">
                  <c:v>Raksha Bandhan</c:v>
                </c:pt>
                <c:pt idx="6">
                  <c:v>Valentine's Day</c:v>
                </c:pt>
              </c:strCache>
            </c:strRef>
          </c:cat>
          <c:val>
            <c:numRef>
              <c:f>Sheet1!$I$18:$I$25</c:f>
              <c:numCache>
                <c:formatCode>#,##0.00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090A-4EEC-9836-5F1BE5A8B659}"/>
            </c:ext>
          </c:extLst>
        </c:ser>
        <c:dLbls>
          <c:showLegendKey val="0"/>
          <c:showVal val="0"/>
          <c:showCatName val="0"/>
          <c:showSerName val="0"/>
          <c:showPercent val="0"/>
          <c:showBubbleSize val="0"/>
        </c:dLbls>
        <c:gapWidth val="219"/>
        <c:overlap val="-27"/>
        <c:axId val="1432152367"/>
        <c:axId val="138279775"/>
      </c:barChart>
      <c:catAx>
        <c:axId val="14321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79775"/>
        <c:crosses val="autoZero"/>
        <c:auto val="1"/>
        <c:lblAlgn val="ctr"/>
        <c:lblOffset val="100"/>
        <c:noMultiLvlLbl val="0"/>
      </c:catAx>
      <c:valAx>
        <c:axId val="138279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1523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Sheet1!$B$18:$B$23</c:f>
              <c:strCache>
                <c:ptCount val="5"/>
                <c:pt idx="0">
                  <c:v>Colors</c:v>
                </c:pt>
                <c:pt idx="1">
                  <c:v>Mugs</c:v>
                </c:pt>
                <c:pt idx="2">
                  <c:v>Raksha Bandhan</c:v>
                </c:pt>
                <c:pt idx="3">
                  <c:v>Soft Toys</c:v>
                </c:pt>
                <c:pt idx="4">
                  <c:v>Sweets</c:v>
                </c:pt>
              </c:strCache>
            </c:strRef>
          </c:cat>
          <c:val>
            <c:numRef>
              <c:f>Sheet1!$C$18:$C$23</c:f>
              <c:numCache>
                <c:formatCode>#,##0.00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2-D450-4548-9A32-6BFC00D24D96}"/>
            </c:ext>
          </c:extLst>
        </c:ser>
        <c:dLbls>
          <c:showLegendKey val="0"/>
          <c:showVal val="0"/>
          <c:showCatName val="0"/>
          <c:showSerName val="0"/>
          <c:showPercent val="0"/>
          <c:showBubbleSize val="0"/>
        </c:dLbls>
        <c:gapWidth val="219"/>
        <c:overlap val="-27"/>
        <c:axId val="1432152367"/>
        <c:axId val="138279775"/>
      </c:barChart>
      <c:catAx>
        <c:axId val="14321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79775"/>
        <c:crosses val="autoZero"/>
        <c:auto val="1"/>
        <c:lblAlgn val="ctr"/>
        <c:lblOffset val="100"/>
        <c:noMultiLvlLbl val="0"/>
      </c:catAx>
      <c:valAx>
        <c:axId val="138279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15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[Ecommerce_project.xlsx]Sheet1!PivotTable3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2-B36F-40C5-AD6F-0ADBA023ACF9}"/>
            </c:ext>
          </c:extLst>
        </c:ser>
        <c:dLbls>
          <c:showLegendKey val="0"/>
          <c:showVal val="0"/>
          <c:showCatName val="0"/>
          <c:showSerName val="0"/>
          <c:showPercent val="0"/>
          <c:showBubbleSize val="0"/>
        </c:dLbls>
        <c:smooth val="0"/>
        <c:axId val="1206858991"/>
        <c:axId val="1206857551"/>
      </c:lineChart>
      <c:catAx>
        <c:axId val="120685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57551"/>
        <c:crosses val="autoZero"/>
        <c:auto val="1"/>
        <c:lblAlgn val="ctr"/>
        <c:lblOffset val="100"/>
        <c:noMultiLvlLbl val="0"/>
      </c:catAx>
      <c:valAx>
        <c:axId val="1206857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5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[Ecommerce_project.xlsx]Sheet1!PivotTable5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endParaRPr lang="en-IN"/>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Sheet1!$F$5</c:f>
              <c:strCache>
                <c:ptCount val="1"/>
                <c:pt idx="0">
                  <c:v>Total</c:v>
                </c:pt>
              </c:strCache>
            </c:strRef>
          </c:tx>
          <c:spPr>
            <a:solidFill>
              <a:schemeClr val="accent1"/>
            </a:solidFill>
            <a:ln>
              <a:noFill/>
            </a:ln>
            <a:effectLst/>
            <a:sp3d/>
          </c:spPr>
          <c:invertIfNegative val="0"/>
          <c:cat>
            <c:strRef>
              <c:f>Sheet1!$E$6:$E$11</c:f>
              <c:strCache>
                <c:ptCount val="5"/>
                <c:pt idx="0">
                  <c:v>Exercitationem Pack</c:v>
                </c:pt>
                <c:pt idx="1">
                  <c:v>Expedita Gift</c:v>
                </c:pt>
                <c:pt idx="2">
                  <c:v>Fugit Set</c:v>
                </c:pt>
                <c:pt idx="3">
                  <c:v>Magnam Set</c:v>
                </c:pt>
                <c:pt idx="4">
                  <c:v>Nihil Box</c:v>
                </c:pt>
              </c:strCache>
            </c:strRef>
          </c:cat>
          <c:val>
            <c:numRef>
              <c:f>Sheet1!$F$6:$F$11</c:f>
              <c:numCache>
                <c:formatCode>#,##0.00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2-0130-4280-8710-82A6334EFF81}"/>
            </c:ext>
          </c:extLst>
        </c:ser>
        <c:dLbls>
          <c:showLegendKey val="0"/>
          <c:showVal val="0"/>
          <c:showCatName val="0"/>
          <c:showSerName val="0"/>
          <c:showPercent val="0"/>
          <c:showBubbleSize val="0"/>
        </c:dLbls>
        <c:gapWidth val="150"/>
        <c:shape val="box"/>
        <c:axId val="404729247"/>
        <c:axId val="404729727"/>
        <c:axId val="0"/>
      </c:bar3DChart>
      <c:catAx>
        <c:axId val="404729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729727"/>
        <c:crosses val="autoZero"/>
        <c:auto val="1"/>
        <c:lblAlgn val="ctr"/>
        <c:lblOffset val="100"/>
        <c:noMultiLvlLbl val="0"/>
      </c:catAx>
      <c:valAx>
        <c:axId val="404729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7292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[Ecommerce_project.xlsx]Sheet1!PivotTable7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Sheet1!$F$18:$F$28</c:f>
              <c:numCache>
                <c:formatCode>#,##0.00</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2-72E1-4444-9B9D-38D0C112C336}"/>
            </c:ext>
          </c:extLst>
        </c:ser>
        <c:dLbls>
          <c:showLegendKey val="0"/>
          <c:showVal val="0"/>
          <c:showCatName val="0"/>
          <c:showSerName val="0"/>
          <c:showPercent val="0"/>
          <c:showBubbleSize val="0"/>
        </c:dLbls>
        <c:gapWidth val="219"/>
        <c:overlap val="-27"/>
        <c:axId val="404886287"/>
        <c:axId val="404885327"/>
      </c:barChart>
      <c:catAx>
        <c:axId val="40488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85327"/>
        <c:crosses val="autoZero"/>
        <c:auto val="1"/>
        <c:lblAlgn val="ctr"/>
        <c:lblOffset val="100"/>
        <c:noMultiLvlLbl val="0"/>
      </c:catAx>
      <c:valAx>
        <c:axId val="404885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8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Sheet1!$F$31</c:f>
              <c:strCache>
                <c:ptCount val="1"/>
                <c:pt idx="0">
                  <c:v>Total</c:v>
                </c:pt>
              </c:strCache>
            </c:strRef>
          </c:tx>
          <c:spPr>
            <a:ln w="28575" cap="rnd">
              <a:solidFill>
                <a:schemeClr val="accent1"/>
              </a:solidFill>
              <a:round/>
            </a:ln>
            <a:effectLst/>
          </c:spPr>
          <c:marker>
            <c:symbol val="none"/>
          </c:marker>
          <c:cat>
            <c:strRef>
              <c:f>Sheet1!$E$32:$E$39</c:f>
              <c:strCache>
                <c:ptCount val="7"/>
                <c:pt idx="0">
                  <c:v>Sunday</c:v>
                </c:pt>
                <c:pt idx="1">
                  <c:v>Monday</c:v>
                </c:pt>
                <c:pt idx="2">
                  <c:v>Tuesday</c:v>
                </c:pt>
                <c:pt idx="3">
                  <c:v>Wednesday</c:v>
                </c:pt>
                <c:pt idx="4">
                  <c:v>Thursday</c:v>
                </c:pt>
                <c:pt idx="5">
                  <c:v>Friday</c:v>
                </c:pt>
                <c:pt idx="6">
                  <c:v>Saturday</c:v>
                </c:pt>
              </c:strCache>
            </c:strRef>
          </c:cat>
          <c:val>
            <c:numRef>
              <c:f>Sheet1!$F$32:$F$39</c:f>
              <c:numCache>
                <c:formatCode>"₹"\ #,##0.00;#,##0.00\ \-"₹";"₹"\ #,##0.00</c:formatCode>
                <c:ptCount val="7"/>
                <c:pt idx="0">
                  <c:v>98772</c:v>
                </c:pt>
                <c:pt idx="1">
                  <c:v>64242</c:v>
                </c:pt>
                <c:pt idx="2">
                  <c:v>127438</c:v>
                </c:pt>
                <c:pt idx="3">
                  <c:v>97887</c:v>
                </c:pt>
                <c:pt idx="4">
                  <c:v>45964</c:v>
                </c:pt>
                <c:pt idx="5">
                  <c:v>88614</c:v>
                </c:pt>
                <c:pt idx="6">
                  <c:v>63259</c:v>
                </c:pt>
              </c:numCache>
            </c:numRef>
          </c:val>
          <c:smooth val="0"/>
          <c:extLst>
            <c:ext xmlns:c16="http://schemas.microsoft.com/office/drawing/2014/chart" uri="{C3380CC4-5D6E-409C-BE32-E72D297353CC}">
              <c16:uniqueId val="{00000002-7849-43A4-BBF8-9B99B1F44CF6}"/>
            </c:ext>
          </c:extLst>
        </c:ser>
        <c:dLbls>
          <c:showLegendKey val="0"/>
          <c:showVal val="0"/>
          <c:showCatName val="0"/>
          <c:showSerName val="0"/>
          <c:showPercent val="0"/>
          <c:showBubbleSize val="0"/>
        </c:dLbls>
        <c:smooth val="0"/>
        <c:axId val="397102511"/>
        <c:axId val="397104431"/>
      </c:lineChart>
      <c:catAx>
        <c:axId val="3971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104431"/>
        <c:crosses val="autoZero"/>
        <c:auto val="1"/>
        <c:lblAlgn val="ctr"/>
        <c:lblOffset val="100"/>
        <c:noMultiLvlLbl val="0"/>
      </c:catAx>
      <c:valAx>
        <c:axId val="397104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1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51435</xdr:colOff>
      <xdr:row>7</xdr:row>
      <xdr:rowOff>161925</xdr:rowOff>
    </xdr:from>
    <xdr:to>
      <xdr:col>7</xdr:col>
      <xdr:colOff>508635</xdr:colOff>
      <xdr:row>22</xdr:row>
      <xdr:rowOff>100965</xdr:rowOff>
    </xdr:to>
    <xdr:graphicFrame macro="">
      <xdr:nvGraphicFramePr>
        <xdr:cNvPr id="2" name="Chart 1">
          <a:extLst>
            <a:ext uri="{FF2B5EF4-FFF2-40B4-BE49-F238E27FC236}">
              <a16:creationId xmlns:a16="http://schemas.microsoft.com/office/drawing/2014/main" id="{42FC8E65-FC68-4F19-A146-E3EB850F9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542925</xdr:colOff>
      <xdr:row>7</xdr:row>
      <xdr:rowOff>146685</xdr:rowOff>
    </xdr:from>
    <xdr:to>
      <xdr:col>15</xdr:col>
      <xdr:colOff>291465</xdr:colOff>
      <xdr:row>22</xdr:row>
      <xdr:rowOff>95250</xdr:rowOff>
    </xdr:to>
    <xdr:graphicFrame macro="">
      <xdr:nvGraphicFramePr>
        <xdr:cNvPr id="3" name="Chart 2">
          <a:extLst>
            <a:ext uri="{FF2B5EF4-FFF2-40B4-BE49-F238E27FC236}">
              <a16:creationId xmlns:a16="http://schemas.microsoft.com/office/drawing/2014/main" id="{7AC1623C-0805-46E0-8912-90354FFE6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22</xdr:row>
      <xdr:rowOff>171450</xdr:rowOff>
    </xdr:from>
    <xdr:to>
      <xdr:col>7</xdr:col>
      <xdr:colOff>487680</xdr:colOff>
      <xdr:row>37</xdr:row>
      <xdr:rowOff>118110</xdr:rowOff>
    </xdr:to>
    <xdr:graphicFrame macro="">
      <xdr:nvGraphicFramePr>
        <xdr:cNvPr id="4" name="Chart 3">
          <a:extLst>
            <a:ext uri="{FF2B5EF4-FFF2-40B4-BE49-F238E27FC236}">
              <a16:creationId xmlns:a16="http://schemas.microsoft.com/office/drawing/2014/main" id="{3C4AA582-A1A3-47DB-B10B-74FC35A30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520065</xdr:colOff>
      <xdr:row>22</xdr:row>
      <xdr:rowOff>169545</xdr:rowOff>
    </xdr:from>
    <xdr:to>
      <xdr:col>15</xdr:col>
      <xdr:colOff>276225</xdr:colOff>
      <xdr:row>37</xdr:row>
      <xdr:rowOff>123825</xdr:rowOff>
    </xdr:to>
    <xdr:graphicFrame macro="">
      <xdr:nvGraphicFramePr>
        <xdr:cNvPr id="5" name="Chart 4">
          <a:extLst>
            <a:ext uri="{FF2B5EF4-FFF2-40B4-BE49-F238E27FC236}">
              <a16:creationId xmlns:a16="http://schemas.microsoft.com/office/drawing/2014/main" id="{CB1FC0A5-19FF-4C84-B743-B0E05AF3D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283844</xdr:colOff>
      <xdr:row>22</xdr:row>
      <xdr:rowOff>171450</xdr:rowOff>
    </xdr:from>
    <xdr:to>
      <xdr:col>23</xdr:col>
      <xdr:colOff>57149</xdr:colOff>
      <xdr:row>37</xdr:row>
      <xdr:rowOff>133350</xdr:rowOff>
    </xdr:to>
    <xdr:graphicFrame macro="">
      <xdr:nvGraphicFramePr>
        <xdr:cNvPr id="6" name="Chart 5">
          <a:extLst>
            <a:ext uri="{FF2B5EF4-FFF2-40B4-BE49-F238E27FC236}">
              <a16:creationId xmlns:a16="http://schemas.microsoft.com/office/drawing/2014/main" id="{F09149BA-7670-4F3B-8BE6-3623AE091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342900</xdr:colOff>
      <xdr:row>7</xdr:row>
      <xdr:rowOff>133351</xdr:rowOff>
    </xdr:from>
    <xdr:to>
      <xdr:col>23</xdr:col>
      <xdr:colOff>38100</xdr:colOff>
      <xdr:row>22</xdr:row>
      <xdr:rowOff>114300</xdr:rowOff>
    </xdr:to>
    <xdr:graphicFrame macro="">
      <xdr:nvGraphicFramePr>
        <xdr:cNvPr id="7" name="Chart 6">
          <a:extLst>
            <a:ext uri="{FF2B5EF4-FFF2-40B4-BE49-F238E27FC236}">
              <a16:creationId xmlns:a16="http://schemas.microsoft.com/office/drawing/2014/main" id="{6DBC15B3-254E-4ADA-A295-CB190C21D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495300</xdr:colOff>
      <xdr:row>2</xdr:row>
      <xdr:rowOff>144780</xdr:rowOff>
    </xdr:from>
    <xdr:to>
      <xdr:col>9</xdr:col>
      <xdr:colOff>285750</xdr:colOff>
      <xdr:row>6</xdr:row>
      <xdr:rowOff>160020</xdr:rowOff>
    </xdr:to>
    <xdr:sp macro="" textlink="Sheet1!F2">
      <xdr:nvSpPr>
        <xdr:cNvPr id="8" name="Rectangle: Rounded Corners 7">
          <a:extLst>
            <a:ext uri="{FF2B5EF4-FFF2-40B4-BE49-F238E27FC236}">
              <a16:creationId xmlns:a16="http://schemas.microsoft.com/office/drawing/2014/main" id="{9DC74FCE-5B4C-0902-5538-D179D22A322C}"/>
            </a:ext>
          </a:extLst>
        </xdr:cNvPr>
        <xdr:cNvSpPr/>
      </xdr:nvSpPr>
      <xdr:spPr>
        <a:xfrm>
          <a:off x="2933700" y="506730"/>
          <a:ext cx="2838450" cy="739140"/>
        </a:xfrm>
        <a:prstGeom prst="roundRect">
          <a:avLst>
            <a:gd name="adj" fmla="val 3348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7E9C15-30D7-43F4-835A-492D6334E453}" type="TxLink">
            <a:rPr lang="en-US" sz="1600" b="0" i="0" u="none" strike="noStrike">
              <a:solidFill>
                <a:srgbClr val="000000"/>
              </a:solidFill>
              <a:latin typeface="Calibri"/>
              <a:ea typeface="Calibri"/>
              <a:cs typeface="Calibri"/>
            </a:rPr>
            <a:pPr algn="ctr"/>
            <a:t>990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US" sz="1600" b="0"/>
        </a:p>
      </xdr:txBody>
    </xdr:sp>
    <xdr:clientData/>
  </xdr:twoCellAnchor>
  <xdr:twoCellAnchor>
    <xdr:from>
      <xdr:col>9</xdr:col>
      <xdr:colOff>350520</xdr:colOff>
      <xdr:row>2</xdr:row>
      <xdr:rowOff>121920</xdr:rowOff>
    </xdr:from>
    <xdr:to>
      <xdr:col>13</xdr:col>
      <xdr:colOff>514350</xdr:colOff>
      <xdr:row>6</xdr:row>
      <xdr:rowOff>129540</xdr:rowOff>
    </xdr:to>
    <xdr:sp macro="" textlink="Sheet1!G2">
      <xdr:nvSpPr>
        <xdr:cNvPr id="9" name="Rectangle: Rounded Corners 8">
          <a:extLst>
            <a:ext uri="{FF2B5EF4-FFF2-40B4-BE49-F238E27FC236}">
              <a16:creationId xmlns:a16="http://schemas.microsoft.com/office/drawing/2014/main" id="{4676E7AB-CB9C-4A19-B63A-996B565E79F1}"/>
            </a:ext>
          </a:extLst>
        </xdr:cNvPr>
        <xdr:cNvSpPr/>
      </xdr:nvSpPr>
      <xdr:spPr>
        <a:xfrm>
          <a:off x="5836920" y="483870"/>
          <a:ext cx="260223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3B7CB9E-97D5-45F6-B69C-E6CF60100773}" type="TxLink">
            <a:rPr lang="en-US" sz="1600" b="0" i="0" u="none" strike="noStrike">
              <a:solidFill>
                <a:srgbClr val="000000"/>
              </a:solidFill>
              <a:latin typeface="Calibri"/>
              <a:ea typeface="Calibri"/>
              <a:cs typeface="Calibri"/>
            </a:rPr>
            <a:pPr algn="ctr"/>
            <a:t>5,86,176.00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Revenue</a:t>
          </a:r>
          <a:endParaRPr lang="en-IN" sz="1600" b="0"/>
        </a:p>
      </xdr:txBody>
    </xdr:sp>
    <xdr:clientData/>
  </xdr:twoCellAnchor>
  <xdr:twoCellAnchor>
    <xdr:from>
      <xdr:col>13</xdr:col>
      <xdr:colOff>594360</xdr:colOff>
      <xdr:row>2</xdr:row>
      <xdr:rowOff>121920</xdr:rowOff>
    </xdr:from>
    <xdr:to>
      <xdr:col>18</xdr:col>
      <xdr:colOff>68580</xdr:colOff>
      <xdr:row>6</xdr:row>
      <xdr:rowOff>129540</xdr:rowOff>
    </xdr:to>
    <xdr:sp macro="" textlink="Sheet1!H2">
      <xdr:nvSpPr>
        <xdr:cNvPr id="10" name="Rectangle: Rounded Corners 9">
          <a:extLst>
            <a:ext uri="{FF2B5EF4-FFF2-40B4-BE49-F238E27FC236}">
              <a16:creationId xmlns:a16="http://schemas.microsoft.com/office/drawing/2014/main" id="{1F0ADBC5-16D7-4D74-8CC8-6151BFFFB7E6}"/>
            </a:ext>
          </a:extLst>
        </xdr:cNvPr>
        <xdr:cNvSpPr/>
      </xdr:nvSpPr>
      <xdr:spPr>
        <a:xfrm>
          <a:off x="8519160" y="487680"/>
          <a:ext cx="252222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1F599A-5B8A-4068-B135-CA6BCC2E817F}" type="TxLink">
            <a:rPr lang="en-US" sz="1600" b="0" i="0" u="none" strike="noStrike">
              <a:solidFill>
                <a:srgbClr val="000000"/>
              </a:solidFill>
              <a:latin typeface="Calibri"/>
              <a:ea typeface="Calibri"/>
              <a:cs typeface="Calibri"/>
            </a:rPr>
            <a:pPr algn="ctr"/>
            <a:t>5.722222222</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 Delive</a:t>
          </a:r>
          <a:r>
            <a:rPr lang="en-US" sz="1600" b="0" i="0" u="none" strike="noStrike">
              <a:solidFill>
                <a:srgbClr val="000000"/>
              </a:solidFill>
              <a:latin typeface="Calibri"/>
              <a:ea typeface="Calibri"/>
              <a:cs typeface="Calibri"/>
            </a:rPr>
            <a:t>ry Time</a:t>
          </a:r>
          <a:endParaRPr lang="en-IN" sz="1600" b="0"/>
        </a:p>
      </xdr:txBody>
    </xdr:sp>
    <xdr:clientData/>
  </xdr:twoCellAnchor>
  <xdr:twoCellAnchor>
    <xdr:from>
      <xdr:col>18</xdr:col>
      <xdr:colOff>213360</xdr:colOff>
      <xdr:row>2</xdr:row>
      <xdr:rowOff>114300</xdr:rowOff>
    </xdr:from>
    <xdr:to>
      <xdr:col>22</xdr:col>
      <xdr:colOff>590550</xdr:colOff>
      <xdr:row>6</xdr:row>
      <xdr:rowOff>144780</xdr:rowOff>
    </xdr:to>
    <xdr:sp macro="" textlink="Sheet1!I2">
      <xdr:nvSpPr>
        <xdr:cNvPr id="11" name="Rectangle: Rounded Corners 10">
          <a:extLst>
            <a:ext uri="{FF2B5EF4-FFF2-40B4-BE49-F238E27FC236}">
              <a16:creationId xmlns:a16="http://schemas.microsoft.com/office/drawing/2014/main" id="{D2293FA4-42F5-414A-AA84-6404D5F9A0DD}"/>
            </a:ext>
          </a:extLst>
        </xdr:cNvPr>
        <xdr:cNvSpPr/>
      </xdr:nvSpPr>
      <xdr:spPr>
        <a:xfrm>
          <a:off x="11186160" y="476250"/>
          <a:ext cx="2815590" cy="754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E7E061C-F087-46DE-884E-BDB6791A6BED}" type="TxLink">
            <a:rPr lang="en-US" sz="1600" b="0" i="0" u="none" strike="noStrike">
              <a:solidFill>
                <a:srgbClr val="000000"/>
              </a:solidFill>
              <a:latin typeface="Calibri"/>
              <a:ea typeface="Calibri"/>
              <a:cs typeface="Calibri"/>
            </a:rPr>
            <a:pPr algn="ctr"/>
            <a:t>₹ 4,652.19</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 Spent</a:t>
          </a:r>
          <a:endParaRPr lang="en-IN" sz="1600" b="0"/>
        </a:p>
      </xdr:txBody>
    </xdr:sp>
    <xdr:clientData/>
  </xdr:twoCellAnchor>
  <xdr:twoCellAnchor editAs="oneCell">
    <xdr:from>
      <xdr:col>23</xdr:col>
      <xdr:colOff>131445</xdr:colOff>
      <xdr:row>18</xdr:row>
      <xdr:rowOff>76200</xdr:rowOff>
    </xdr:from>
    <xdr:to>
      <xdr:col>26</xdr:col>
      <xdr:colOff>405765</xdr:colOff>
      <xdr:row>37</xdr:row>
      <xdr:rowOff>129675</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1C9FBDD2-47A8-4F16-8880-93D9DAAAAB9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152245" y="3333750"/>
              <a:ext cx="2103120" cy="34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118110</xdr:colOff>
      <xdr:row>2</xdr:row>
      <xdr:rowOff>133350</xdr:rowOff>
    </xdr:from>
    <xdr:to>
      <xdr:col>26</xdr:col>
      <xdr:colOff>392430</xdr:colOff>
      <xdr:row>10</xdr:row>
      <xdr:rowOff>43815</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6BA3B5E6-09C2-AF30-63F5-18882D4138F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138910" y="495300"/>
              <a:ext cx="2103120" cy="13582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121920</xdr:colOff>
      <xdr:row>10</xdr:row>
      <xdr:rowOff>76201</xdr:rowOff>
    </xdr:from>
    <xdr:to>
      <xdr:col>26</xdr:col>
      <xdr:colOff>396240</xdr:colOff>
      <xdr:row>18</xdr:row>
      <xdr:rowOff>9525</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4FC6E2B6-8B59-9101-CC5B-B72202EC1067}"/>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142720" y="1885951"/>
              <a:ext cx="2103120" cy="13811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114300</xdr:colOff>
      <xdr:row>2</xdr:row>
      <xdr:rowOff>137159</xdr:rowOff>
    </xdr:from>
    <xdr:to>
      <xdr:col>4</xdr:col>
      <xdr:colOff>409575</xdr:colOff>
      <xdr:row>6</xdr:row>
      <xdr:rowOff>180974</xdr:rowOff>
    </xdr:to>
    <xdr:sp macro="" textlink="Sheet1!F2">
      <xdr:nvSpPr>
        <xdr:cNvPr id="16" name="Rectangle: Rounded Corners 15">
          <a:extLst>
            <a:ext uri="{FF2B5EF4-FFF2-40B4-BE49-F238E27FC236}">
              <a16:creationId xmlns:a16="http://schemas.microsoft.com/office/drawing/2014/main" id="{30774571-EA45-449D-9998-63A99CC55E32}"/>
            </a:ext>
          </a:extLst>
        </xdr:cNvPr>
        <xdr:cNvSpPr/>
      </xdr:nvSpPr>
      <xdr:spPr>
        <a:xfrm>
          <a:off x="114300" y="499109"/>
          <a:ext cx="2733675" cy="767715"/>
        </a:xfrm>
        <a:prstGeom prst="roundRect">
          <a:avLst>
            <a:gd name="adj" fmla="val 3348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        Sales Analysis</a:t>
          </a:r>
        </a:p>
      </xdr:txBody>
    </xdr:sp>
    <xdr:clientData/>
  </xdr:twoCellAnchor>
  <xdr:twoCellAnchor editAs="oneCell">
    <xdr:from>
      <xdr:col>0</xdr:col>
      <xdr:colOff>228600</xdr:colOff>
      <xdr:row>3</xdr:row>
      <xdr:rowOff>19859</xdr:rowOff>
    </xdr:from>
    <xdr:to>
      <xdr:col>1</xdr:col>
      <xdr:colOff>205740</xdr:colOff>
      <xdr:row>6</xdr:row>
      <xdr:rowOff>68579</xdr:rowOff>
    </xdr:to>
    <xdr:pic>
      <xdr:nvPicPr>
        <xdr:cNvPr id="20" name="Picture 19">
          <a:extLst>
            <a:ext uri="{FF2B5EF4-FFF2-40B4-BE49-F238E27FC236}">
              <a16:creationId xmlns:a16="http://schemas.microsoft.com/office/drawing/2014/main" id="{B1467932-7BA3-A46D-F82C-7F1C509ECD6C}"/>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5778" r="25111"/>
        <a:stretch>
          <a:fillRect/>
        </a:stretch>
      </xdr:blipFill>
      <xdr:spPr bwMode="auto">
        <a:xfrm>
          <a:off x="228600" y="568499"/>
          <a:ext cx="586740" cy="59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696189699076" backgroundQuery="1" createdVersion="8" refreshedVersion="8" minRefreshableVersion="3" recordCount="0" supportSubquery="1" supportAdvancedDrill="1" xr:uid="{6DCDB2CF-ACAD-4C6B-AEC3-BBBE5B52AC20}">
  <cacheSource type="external" connectionId="8"/>
  <cacheFields count="5">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Occasion].[Occasion]" caption="Occasion" numFmtId="0" hierarchy="28" level="1">
      <sharedItems count="7">
        <s v="All Occasions"/>
        <s v="Anniversary"/>
        <s v="Birthday"/>
        <s v="Diwali"/>
        <s v="Holi"/>
        <s v="Raksha Bandhan"/>
        <s v="Valentine's Day"/>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2"/>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700332986111" backgroundQuery="1" createdVersion="8" refreshedVersion="8" minRefreshableVersion="3" recordCount="0" supportSubquery="1" supportAdvancedDrill="1" xr:uid="{64A01D77-A82F-47B6-9099-4B7CD031B092}">
  <cacheSource type="external" connectionId="8"/>
  <cacheFields count="5">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Exercitationem Pack"/>
        <s v="Expedita Gift"/>
        <s v="Fugit Set"/>
        <s v="Magnam Set"/>
        <s v="Nihil Box"/>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2"/>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700333449073" backgroundQuery="1" createdVersion="8" refreshedVersion="8" minRefreshableVersion="3" recordCount="0" supportSubquery="1" supportAdvancedDrill="1" xr:uid="{1305C8F9-DB9B-4053-BBD5-8293E62DF830}">
  <cacheSource type="external" connectionId="8"/>
  <cacheFields count="5">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Exercitationem Pack"/>
        <s v="Expedita Gift"/>
        <s v="Fugit Set"/>
        <s v="Magnam Set"/>
        <s v="Nihil Box"/>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2"/>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700333796296" backgroundQuery="1" createdVersion="8" refreshedVersion="8" minRefreshableVersion="3" recordCount="0" supportSubquery="1" supportAdvancedDrill="1" xr:uid="{62512E8C-A19D-4838-809B-DCE39F9F0A8A}">
  <cacheSource type="external" connectionId="8"/>
  <cacheFields count="4">
    <cacheField name="[orders].[Order_day].[Order_day]" caption="Order_day" numFmtId="0" hierarchy="23" level="1">
      <sharedItems count="7">
        <s v="Friday"/>
        <s v="Monday"/>
        <s v="Saturday"/>
        <s v="Sunday"/>
        <s v="Thursday"/>
        <s v="Tuesday"/>
        <s v="Wednesday"/>
      </sharedItems>
    </cacheField>
    <cacheField name="[Measures].[Sum of Revenue]" caption="Sum of Revenue" numFmtId="0" hierarchy="35"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2"/>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700334143519" backgroundQuery="1" createdVersion="8" refreshedVersion="8" minRefreshableVersion="3" recordCount="0" supportSubquery="1" supportAdvancedDrill="1" xr:uid="{EC9494EE-CADF-4B1A-AB1E-CEF331A75F36}">
  <cacheSource type="external" connectionId="8"/>
  <cacheFields count="4">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2"/>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700334490743" backgroundQuery="1" createdVersion="8" refreshedVersion="8" minRefreshableVersion="3" recordCount="0" supportSubquery="1" supportAdvancedDrill="1" xr:uid="{122F99C1-DA57-4FAF-AB3E-EEAC4C0C4CFE}">
  <cacheSource type="external" connectionId="8"/>
  <cacheFields count="6">
    <cacheField name="[Measures].[Sum of Revenue]" caption="Sum of Revenue" numFmtId="0" hierarchy="35" level="32767"/>
    <cacheField name="[Measures].[Average of diff_order_delivery]" caption="Average of diff_order_delivery" numFmtId="0" hierarchy="38" level="32767"/>
    <cacheField name="[Measures].[Average of Revenue]" caption="Average of Revenue" numFmtId="0" hierarchy="37" level="32767"/>
    <cacheField name="[Measures].[Max of Order_ID]" caption="Max of Order_ID" numFmtId="0" hierarchy="42"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2"/>
        </ext>
      </extLst>
    </cacheHierarchy>
    <cacheHierarchy uniqueName="[Measures].[Max of Order_ID]" caption="Max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700334837966" backgroundQuery="1" createdVersion="8" refreshedVersion="8" minRefreshableVersion="3" recordCount="0" supportSubquery="1" supportAdvancedDrill="1" xr:uid="{EEF20E3C-8C1E-4828-8BDA-31C64E8CB64F}">
  <cacheSource type="external" connectionId="8"/>
  <cacheFields count="5">
    <cacheField name="[Measures].[Sum of Revenue]" caption="Sum of Revenue" numFmtId="0" hierarchy="35"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5">
        <s v="Colors"/>
        <s v="Mugs"/>
        <s v="Raksha Bandhan"/>
        <s v="Soft Toys"/>
        <s v="Sweets"/>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2"/>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700335185182" backgroundQuery="1" createdVersion="8" refreshedVersion="8" minRefreshableVersion="3" recordCount="0" supportSubquery="1" supportAdvancedDrill="1" xr:uid="{E41B4DD2-B197-4E6C-8B9D-2C7859785370}">
  <cacheSource type="external" connectionId="8"/>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0"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2"/>
        </ext>
      </extLst>
    </cacheHierarchy>
    <cacheHierarchy uniqueName="[Measures].[Max of Order_ID]" caption="Max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509353819441" backgroundQuery="1" createdVersion="3" refreshedVersion="8" minRefreshableVersion="3" recordCount="0" supportSubquery="1" supportAdvancedDrill="1" xr:uid="{BB3F8505-9CFC-458E-BBD4-384F4E619BDE}">
  <cacheSource type="external" connectionId="8">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8586717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arun bharadwaj" refreshedDate="46069.653514004633" backgroundQuery="1" createdVersion="3" refreshedVersion="8" minRefreshableVersion="3" recordCount="0" supportSubquery="1" supportAdvancedDrill="1" xr:uid="{24B05941-2DF9-4F8A-9CD0-57AF6FCC1569}">
  <cacheSource type="external" connectionId="8">
    <extLst>
      <ext xmlns:x14="http://schemas.microsoft.com/office/spreadsheetml/2009/9/main" uri="{F057638F-6D5F-4e77-A914-E7F072B9BCA8}">
        <x14:sourceConnection name="ThisWorkbookDataModel"/>
      </ext>
    </extLst>
  </cacheSource>
  <cacheFields count="0"/>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Max of Revenue]" caption="Max of Revenue" measure="1" displayFolder="" measureGroup="order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pivotCacheId="7514288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64EBA-8A66-47E0-8F00-15AE05C01569}" name="PivotTable3" cacheId="775" applyNumberFormats="0" applyBorderFormats="0" applyFontFormats="0" applyPatternFormats="0" applyAlignmentFormats="0" applyWidthHeightFormats="1" dataCaption="Values" tag="2efc3be4-7f96-4515-abcb-37ebb3fc2b67" updatedVersion="8" minRefreshableVersion="5" useAutoFormatting="1" subtotalHiddenItems="1" itemPrintTitles="1" createdVersion="8" indent="0" outline="1" outlineData="1" multipleFieldFilters="0" chartFormat="13">
  <location ref="B1:C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4"/>
  </dataFields>
  <formats count="4">
    <format dxfId="817">
      <pivotArea type="all" dataOnly="0" outline="0" fieldPosition="0"/>
    </format>
    <format dxfId="816">
      <pivotArea outline="0" collapsedLevelsAreSubtotals="1" fieldPosition="0"/>
    </format>
    <format dxfId="815">
      <pivotArea dataOnly="0" labelOnly="1" grandRow="1" outline="0" fieldPosition="0"/>
    </format>
    <format dxfId="814">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8201CA-BCD3-4007-96DA-DD93B5D75D80}" name="PivotTable7" cacheId="784" applyNumberFormats="0" applyBorderFormats="0" applyFontFormats="0" applyPatternFormats="0" applyAlignmentFormats="0" applyWidthHeightFormats="1" dataCaption="Values" tag="6b9aca59-8f6a-4a19-916f-bf5a0ece00d6" updatedVersion="8" minRefreshableVersion="5" useAutoFormatting="1" subtotalHiddenItems="1" itemPrintTitles="1" createdVersion="8" indent="0" outline="1" outlineData="1" multipleFieldFilters="0" chartFormat="19">
  <location ref="E17:F2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formats count="4">
    <format dxfId="821">
      <pivotArea type="all" dataOnly="0" outline="0" fieldPosition="0"/>
    </format>
    <format dxfId="820">
      <pivotArea outline="0" collapsedLevelsAreSubtotals="1" fieldPosition="0"/>
    </format>
    <format dxfId="819">
      <pivotArea dataOnly="0" labelOnly="1" grandRow="1" outline="0" fieldPosition="0"/>
    </format>
    <format dxfId="818">
      <pivotArea dataOnly="0" labelOnly="1" outline="0" axis="axisValues" fieldPosition="0"/>
    </format>
  </formats>
  <chartFormats count="3">
    <chartFormat chart="1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A40D0-DBB5-45C5-8BBA-BFF68D8D38E4}" name="PivotTable6" cacheId="781" applyNumberFormats="0" applyBorderFormats="0" applyFontFormats="0" applyPatternFormats="0" applyAlignmentFormats="0" applyWidthHeightFormats="1" dataCaption="Values" tag="c2acc4f4-6d9d-4af6-93d6-f38ac758e8e5" updatedVersion="8" minRefreshableVersion="5" useAutoFormatting="1" subtotalHiddenItems="1" itemPrintTitles="1" createdVersion="8" indent="0" outline="1" outlineData="1" multipleFieldFilters="0" chartFormat="5">
  <location ref="B17:C2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4"/>
  </dataFields>
  <formats count="4">
    <format dxfId="825">
      <pivotArea type="all" dataOnly="0" outline="0" fieldPosition="0"/>
    </format>
    <format dxfId="824">
      <pivotArea outline="0" collapsedLevelsAreSubtotals="1" fieldPosition="0"/>
    </format>
    <format dxfId="823">
      <pivotArea dataOnly="0" labelOnly="1" grandRow="1" outline="0" fieldPosition="0"/>
    </format>
    <format dxfId="82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7D4841-1F74-4CEC-A43C-0909DA2F955D}" name="PivotTable5" cacheId="766" applyNumberFormats="0" applyBorderFormats="0" applyFontFormats="0" applyPatternFormats="0" applyAlignmentFormats="0" applyWidthHeightFormats="1" dataCaption="Values" tag="6422ce06-d38d-4af7-95ac-7c5e2a247c1a" updatedVersion="8" minRefreshableVersion="5" useAutoFormatting="1" subtotalHiddenItems="1" itemPrintTitles="1" createdVersion="8" indent="0" outline="1" outlineData="1" multipleFieldFilters="0" chartFormat="9">
  <location ref="E5:F1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4"/>
  </dataFields>
  <formats count="4">
    <format dxfId="730">
      <pivotArea type="all" dataOnly="0" outline="0" fieldPosition="0"/>
    </format>
    <format dxfId="731">
      <pivotArea outline="0" collapsedLevelsAreSubtotals="1" fieldPosition="0"/>
    </format>
    <format dxfId="732">
      <pivotArea dataOnly="0" labelOnly="1" grandRow="1" outline="0" fieldPosition="0"/>
    </format>
    <format dxfId="733">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3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C5C8EF-719C-431A-B9DC-A01021F7F6F6}" name="PivotTable11" cacheId="772" applyNumberFormats="0" applyBorderFormats="0" applyFontFormats="0" applyPatternFormats="0" applyAlignmentFormats="0" applyWidthHeightFormats="1" dataCaption="Values" tag="5e66b9cf-794c-4414-bcd5-68328a4ea85c" updatedVersion="8" minRefreshableVersion="5" useAutoFormatting="1" subtotalHiddenItems="1" itemPrintTitles="1" createdVersion="8" indent="0" outline="1" outlineData="1" multipleFieldFilters="0" chartFormat="5">
  <location ref="E31:F39" firstHeaderRow="1" firstDataRow="1" firstDataCol="1"/>
  <pivotFields count="4">
    <pivotField axis="axisRow" allDrilled="1" subtotalTop="0" showAll="0" measureFilter="1"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35">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319149-F9A5-4BA2-98B3-23FF82FD1DD4}" name="PivotTable10" cacheId="769" applyNumberFormats="0" applyBorderFormats="0" applyFontFormats="0" applyPatternFormats="0" applyAlignmentFormats="0" applyWidthHeightFormats="1" dataCaption="Values" tag="cdfb01f3-ac6b-4f3e-9284-aab3b6e7d08a" updatedVersion="8" minRefreshableVersion="5" useAutoFormatting="1" subtotalHiddenItems="1" itemPrintTitles="1" createdVersion="8" indent="0" outline="1" outlineData="1" multipleFieldFilters="0" chartFormat="9">
  <location ref="B31:C3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4"/>
  </dataFields>
  <formats count="4">
    <format dxfId="726">
      <pivotArea type="all" dataOnly="0" outline="0" fieldPosition="0"/>
    </format>
    <format dxfId="727">
      <pivotArea outline="0" collapsedLevelsAreSubtotals="1" fieldPosition="0"/>
    </format>
    <format dxfId="728">
      <pivotArea dataOnly="0" labelOnly="1" grandRow="1" outline="0" fieldPosition="0"/>
    </format>
    <format dxfId="729">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3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3DA7BE-F37E-436C-B382-80B104A4C607}" name="PivotTable4" cacheId="778" applyNumberFormats="0" applyBorderFormats="0" applyFontFormats="0" applyPatternFormats="0" applyAlignmentFormats="0" applyWidthHeightFormats="1" dataCaption="Values" tag="7477017d-93af-46de-91b8-cb72e8f1bac8" updatedVersion="8" minRefreshableVersion="5" useAutoFormatting="1" subtotalHiddenItems="1" itemPrintTitles="1" createdVersion="8" indent="0" outline="1" outlineData="1" multipleFieldFilters="0">
  <location ref="F1:I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s placed" fld="3" subtotal="max" baseField="0" baseItem="0"/>
    <dataField name="Sum of Revenue" fld="0" baseField="0" baseItem="0" numFmtId="4"/>
    <dataField name="Average of diff_order_delivery" fld="1" subtotal="average" baseField="0" baseItem="0"/>
    <dataField name="Average of customer spending" fld="2" subtotal="average" baseField="0" baseItem="0"/>
  </dataFields>
  <formats count="2">
    <format dxfId="827">
      <pivotArea outline="0" collapsedLevelsAreSubtotals="1" fieldPosition="0">
        <references count="1">
          <reference field="4294967294" count="1" selected="0">
            <x v="1"/>
          </reference>
        </references>
      </pivotArea>
    </format>
    <format dxfId="826">
      <pivotArea dataOnly="0" labelOnly="1" outline="0" fieldPosition="0">
        <references count="1">
          <reference field="4294967294" count="1">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B326B5-8F7B-4BD7-AFD8-46A753E9F0DF}" name="PivotTable8" cacheId="719" applyNumberFormats="0" applyBorderFormats="0" applyFontFormats="0" applyPatternFormats="0" applyAlignmentFormats="0" applyWidthHeightFormats="1" dataCaption="Values" tag="b1ed3aea-82a5-45c2-8f51-dcd8b294228c" updatedVersion="8" minRefreshableVersion="5" useAutoFormatting="1" subtotalHiddenItems="1" itemPrintTitles="1" createdVersion="8" indent="0" outline="1" outlineData="1" multipleFieldFilters="0" chartFormat="6">
  <location ref="H17:I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4"/>
  </dataFields>
  <formats count="4">
    <format dxfId="831">
      <pivotArea type="all" dataOnly="0" outline="0" fieldPosition="0"/>
    </format>
    <format dxfId="830">
      <pivotArea outline="0" collapsedLevelsAreSubtotals="1" fieldPosition="0"/>
    </format>
    <format dxfId="829">
      <pivotArea dataOnly="0" labelOnly="1" grandRow="1" outline="0" fieldPosition="0"/>
    </format>
    <format dxfId="82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663D0997-E962-4BAD-908B-E843A927044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3D9C5A77-B3DE-4AC6-B5CF-F95B9FE5329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3C0C215D-6C38-4651-B1D9-D6B13DE6452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Order_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3D114AF5-C279-4A27-97D0-1213A278E48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D3921FE-F3C6-43A4-96BA-D41D798F6046}" sourceName="[orders].[Occasion]">
  <pivotTables>
    <pivotTable tabId="1" name="PivotTable5"/>
    <pivotTable tabId="1" name="PivotTable10"/>
    <pivotTable tabId="1" name="PivotTable11"/>
    <pivotTable tabId="1" name="PivotTable3"/>
    <pivotTable tabId="1" name="PivotTable4"/>
    <pivotTable tabId="1" name="PivotTable6"/>
    <pivotTable tabId="1" name="PivotTable7"/>
  </pivotTables>
  <data>
    <olap pivotCacheId="168586717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6AC9116-5E3B-47D1-B8CD-2A97A263D417}"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B21D22-B032-4C05-AC3D-CA64793B221E}" name="Ecommerce" displayName="Ecommerce" ref="A1:F4" tableType="queryTable" totalsRowShown="0">
  <autoFilter ref="A1:F4" xr:uid="{86B21D22-B032-4C05-AC3D-CA64793B221E}"/>
  <tableColumns count="6">
    <tableColumn id="1" xr3:uid="{5FB46ECD-4BBA-44AF-B374-4927BE069D93}" uniqueName="1" name="Name" queryTableFieldId="1" dataDxfId="813"/>
    <tableColumn id="2" xr3:uid="{C7D95115-A94F-49C7-87E3-0775EBA2436C}" uniqueName="2" name="Extension" queryTableFieldId="2" dataDxfId="812"/>
    <tableColumn id="3" xr3:uid="{3494B389-0189-4507-9265-6AB2257F6169}" uniqueName="3" name="Date accessed" queryTableFieldId="3" dataDxfId="811"/>
    <tableColumn id="4" xr3:uid="{08BAC9CF-C6FC-4F96-A913-793E88024D0C}" uniqueName="4" name="Date modified" queryTableFieldId="4" dataDxfId="810"/>
    <tableColumn id="5" xr3:uid="{9EFE159A-6D85-4795-9CCB-191959A104B0}" uniqueName="5" name="Date created" queryTableFieldId="5" dataDxfId="809"/>
    <tableColumn id="6" xr3:uid="{BC885C06-EF39-4FDF-AD61-BFEBB6C147DD}" uniqueName="6" name="Folder Path" queryTableFieldId="6" dataDxfId="80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8647CC-1771-4E0C-BAD8-65840EF72377}" name="customers" displayName="customers" ref="A1:G101" tableType="queryTable" totalsRowShown="0">
  <autoFilter ref="A1:G101" xr:uid="{AD8647CC-1771-4E0C-BAD8-65840EF72377}"/>
  <tableColumns count="7">
    <tableColumn id="1" xr3:uid="{3B294B4C-8247-4073-9714-886116FFE13E}" uniqueName="1" name="Customer_ID" queryTableFieldId="1" dataDxfId="807"/>
    <tableColumn id="2" xr3:uid="{B71BF2C7-B7EB-4AD7-91EE-1668E9DD9E15}" uniqueName="2" name="Name" queryTableFieldId="2" dataDxfId="806"/>
    <tableColumn id="3" xr3:uid="{D43CA396-5CAA-434A-A267-2581A443047F}" uniqueName="3" name="City" queryTableFieldId="3" dataDxfId="805"/>
    <tableColumn id="4" xr3:uid="{D3EBA25B-95DE-4BC0-9CBE-5C181DC44931}" uniqueName="4" name="Contact_Number" queryTableFieldId="4" dataDxfId="804"/>
    <tableColumn id="5" xr3:uid="{318D838D-22B8-4638-827E-98BDC929ACFC}" uniqueName="5" name="Email" queryTableFieldId="5" dataDxfId="803"/>
    <tableColumn id="6" xr3:uid="{3728E6AA-2F14-46B4-AD7F-71837330F765}" uniqueName="6" name="Gender" queryTableFieldId="6" dataDxfId="802"/>
    <tableColumn id="7" xr3:uid="{85FE89B9-382A-4EFC-B0FE-27BC751FA6A0}" uniqueName="7" name="Address" queryTableFieldId="7" dataDxfId="80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6CAE55F-25A6-4239-A19F-513B689512AC}" name="orders" displayName="orders" ref="A1:Q1001" tableType="queryTable" totalsRowShown="0">
  <autoFilter ref="A1:Q1001" xr:uid="{B6CAE55F-25A6-4239-A19F-513B689512AC}"/>
  <tableColumns count="17">
    <tableColumn id="1" xr3:uid="{9C64C68B-9C97-4F18-A9D9-A0E023609B45}" uniqueName="1" name="Order_ID" queryTableFieldId="1"/>
    <tableColumn id="2" xr3:uid="{26D8646D-E30D-49CD-BAE0-6AD010A85273}" uniqueName="2" name="Customer_ID" queryTableFieldId="2" dataDxfId="800"/>
    <tableColumn id="3" xr3:uid="{A9776E05-8196-4B6A-BB72-450E558BEBDC}" uniqueName="3" name="Product_ID" queryTableFieldId="3"/>
    <tableColumn id="4" xr3:uid="{65CE58EA-EC62-4924-A4DA-102470576782}" uniqueName="4" name="Quantity" queryTableFieldId="4"/>
    <tableColumn id="5" xr3:uid="{AF5C753B-E3D4-44B0-B219-C1A793E26E85}" uniqueName="5" name="Order_Date" queryTableFieldId="5" dataDxfId="799"/>
    <tableColumn id="6" xr3:uid="{6C68B753-91FE-4107-8052-F589CA7D2336}" uniqueName="6" name="Order_Time" queryTableFieldId="6" dataDxfId="798"/>
    <tableColumn id="7" xr3:uid="{41E1B583-5EF7-4ED7-A02C-C79FBE6CBD91}" uniqueName="7" name="Delivery_Date" queryTableFieldId="7" dataDxfId="797"/>
    <tableColumn id="8" xr3:uid="{0249F87F-6DBD-4F4E-B291-F4A5226C5C73}" uniqueName="8" name="Delivery_Time" queryTableFieldId="8" dataDxfId="796"/>
    <tableColumn id="9" xr3:uid="{0691D5FA-FAC6-4583-8417-6CED51C99927}" uniqueName="9" name="Location" queryTableFieldId="9" dataDxfId="795"/>
    <tableColumn id="10" xr3:uid="{3E168D07-6C89-41EB-A47E-470BBC1FA981}" uniqueName="10" name="Occasion" queryTableFieldId="10" dataDxfId="794"/>
    <tableColumn id="11" xr3:uid="{593B6B78-056A-4F6E-9CF9-4AD7E31539CA}" uniqueName="11" name="Month Name" queryTableFieldId="11" dataDxfId="793"/>
    <tableColumn id="12" xr3:uid="{D54E5853-A84E-4EF6-95C1-CBD30BD069F8}" uniqueName="12" name="Hour (order time)" queryTableFieldId="12"/>
    <tableColumn id="13" xr3:uid="{54BB9460-EEB0-4B3B-ADF8-E89164A0F2E2}" uniqueName="13" name="diff_order_delivery" queryTableFieldId="13"/>
    <tableColumn id="14" xr3:uid="{453CE4B5-2771-4DB9-A05B-45BB60E3ED24}" uniqueName="14" name="Hour( delivery time)" queryTableFieldId="14"/>
    <tableColumn id="15" xr3:uid="{EB50E5C1-3894-4D5F-A605-8C17DF81B8F4}" uniqueName="15" name="Price (INR)" queryTableFieldId="15"/>
    <tableColumn id="16" xr3:uid="{8EDC3F95-2239-4989-B70F-7616D881B2C3}" uniqueName="16" name="Revenue" queryTableFieldId="16"/>
    <tableColumn id="18" xr3:uid="{64646737-8A57-473D-AB2E-0244714AA2E8}" uniqueName="18" name="Order_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6796B0-8133-47BC-958D-DEB66F18D2E2}" name="products" displayName="products" ref="A1:E71" tableType="queryTable" totalsRowShown="0">
  <autoFilter ref="A1:E71" xr:uid="{EA6796B0-8133-47BC-958D-DEB66F18D2E2}"/>
  <tableColumns count="5">
    <tableColumn id="1" xr3:uid="{6C1E1053-E48C-4CF3-B0E9-35190751F1AA}" uniqueName="1" name="Product_ID" queryTableFieldId="1"/>
    <tableColumn id="2" xr3:uid="{2B1BD42B-A533-4733-908E-D06854C86621}" uniqueName="2" name="Product_Name" queryTableFieldId="2" dataDxfId="792"/>
    <tableColumn id="3" xr3:uid="{76DCD7BE-B404-4F0E-9A47-55DAE927B3DD}" uniqueName="3" name="Category" queryTableFieldId="3" dataDxfId="791"/>
    <tableColumn id="4" xr3:uid="{27E389D2-E4DB-4F45-8CE2-42C87948418A}" uniqueName="4" name="Price (INR)" queryTableFieldId="4"/>
    <tableColumn id="5" xr3:uid="{02C23902-CB40-4837-9B51-DE92C0A28023}" uniqueName="5" name="Occasion" queryTableFieldId="5" dataDxfId="79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2C2F64D-9F6E-421F-B271-08409764A69E}" sourceName="[orders].[Order_Date]">
  <pivotTables>
    <pivotTable tabId="1" name="PivotTable6"/>
    <pivotTable tabId="1" name="PivotTable10"/>
    <pivotTable tabId="1" name="PivotTable11"/>
    <pivotTable tabId="1" name="PivotTable3"/>
    <pivotTable tabId="1" name="PivotTable4"/>
    <pivotTable tabId="1" name="PivotTable5"/>
    <pivotTable tabId="1" name="PivotTable7"/>
    <pivotTable tabId="1" name="PivotTable8"/>
  </pivotTables>
  <state minimalRefreshVersion="6" lastRefreshVersion="6" pivotCacheId="751428832"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18DC37C-99A1-43E2-B07D-795EC2CF5D0D}" sourceName="[orders].[Delivery_Date]">
  <pivotTables>
    <pivotTable tabId="1" name="PivotTable3"/>
    <pivotTable tabId="1" name="PivotTable10"/>
    <pivotTable tabId="1" name="PivotTable11"/>
    <pivotTable tabId="1" name="PivotTable4"/>
    <pivotTable tabId="1" name="PivotTable5"/>
    <pivotTable tabId="1" name="PivotTable6"/>
    <pivotTable tabId="1" name="PivotTable7"/>
    <pivotTable tabId="1" name="PivotTable8"/>
  </pivotTables>
  <state minimalRefreshVersion="6" lastRefreshVersion="6" pivotCacheId="75142883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2BF34BE-9BCD-44BA-8A2B-A9DDC1D893B4}" cache="Timeline_Order_Date" caption="Order_Date" level="0" selectionLevel="0" scrollPosition="2023-01-01T00:00:00"/>
  <timeline name="Delivery_Date" xr10:uid="{9D4663FC-E6DE-4A2D-98F2-AE40F9249EBA}"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1455-CF69-483A-9447-65CF9129FC8C}">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79" bestFit="1" customWidth="1"/>
  </cols>
  <sheetData>
    <row r="1" spans="1:6" x14ac:dyDescent="0.3">
      <c r="A1" t="s">
        <v>0</v>
      </c>
      <c r="B1" t="s">
        <v>1</v>
      </c>
      <c r="C1" t="s">
        <v>2</v>
      </c>
      <c r="D1" t="s">
        <v>3</v>
      </c>
      <c r="E1" t="s">
        <v>4</v>
      </c>
      <c r="F1" t="s">
        <v>5</v>
      </c>
    </row>
    <row r="2" spans="1:6" x14ac:dyDescent="0.3">
      <c r="A2" t="s">
        <v>6</v>
      </c>
      <c r="B2" t="s">
        <v>7</v>
      </c>
      <c r="C2" s="1">
        <v>46066.688974386576</v>
      </c>
      <c r="D2" s="1">
        <v>46066.470153263886</v>
      </c>
      <c r="E2" s="1">
        <v>46066.467322511577</v>
      </c>
      <c r="F2" t="s">
        <v>8</v>
      </c>
    </row>
    <row r="3" spans="1:6" x14ac:dyDescent="0.3">
      <c r="A3" t="s">
        <v>9</v>
      </c>
      <c r="B3" t="s">
        <v>7</v>
      </c>
      <c r="C3" s="1">
        <v>46066.68897372685</v>
      </c>
      <c r="D3" s="1">
        <v>46066.469762187502</v>
      </c>
      <c r="E3" s="1">
        <v>46066.467369953702</v>
      </c>
      <c r="F3" t="s">
        <v>8</v>
      </c>
    </row>
    <row r="4" spans="1:6" x14ac:dyDescent="0.3">
      <c r="A4" t="s">
        <v>10</v>
      </c>
      <c r="B4" t="s">
        <v>7</v>
      </c>
      <c r="C4" s="1">
        <v>46066.688974247685</v>
      </c>
      <c r="D4" s="1">
        <v>46066.468793506945</v>
      </c>
      <c r="E4" s="1">
        <v>46066.467409351855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7DC47-7B75-46FD-8191-A90A18C8BCF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931</v>
      </c>
      <c r="D89" t="s">
        <v>531</v>
      </c>
      <c r="E89" t="s">
        <v>532</v>
      </c>
      <c r="F89" t="s">
        <v>22</v>
      </c>
      <c r="G89" t="s">
        <v>533</v>
      </c>
    </row>
    <row r="90" spans="1:7" x14ac:dyDescent="0.3">
      <c r="A90" t="s">
        <v>534</v>
      </c>
      <c r="B90" t="s">
        <v>535</v>
      </c>
      <c r="C90" t="s">
        <v>536</v>
      </c>
      <c r="D90" t="s">
        <v>537</v>
      </c>
      <c r="E90" t="s">
        <v>538</v>
      </c>
      <c r="F90" t="s">
        <v>22</v>
      </c>
      <c r="G90" t="s">
        <v>539</v>
      </c>
    </row>
    <row r="91" spans="1:7" x14ac:dyDescent="0.3">
      <c r="A91" t="s">
        <v>540</v>
      </c>
      <c r="B91" t="s">
        <v>541</v>
      </c>
      <c r="C91" t="s">
        <v>542</v>
      </c>
      <c r="D91" t="s">
        <v>543</v>
      </c>
      <c r="E91" t="s">
        <v>544</v>
      </c>
      <c r="F91" t="s">
        <v>22</v>
      </c>
      <c r="G91" t="s">
        <v>545</v>
      </c>
    </row>
    <row r="92" spans="1:7" x14ac:dyDescent="0.3">
      <c r="A92" t="s">
        <v>546</v>
      </c>
      <c r="B92" t="s">
        <v>547</v>
      </c>
      <c r="C92" t="s">
        <v>548</v>
      </c>
      <c r="D92" t="s">
        <v>549</v>
      </c>
      <c r="E92" t="s">
        <v>550</v>
      </c>
      <c r="F92" t="s">
        <v>22</v>
      </c>
      <c r="G92" t="s">
        <v>551</v>
      </c>
    </row>
    <row r="93" spans="1:7" x14ac:dyDescent="0.3">
      <c r="A93" t="s">
        <v>552</v>
      </c>
      <c r="B93" t="s">
        <v>553</v>
      </c>
      <c r="C93" t="s">
        <v>230</v>
      </c>
      <c r="D93" t="s">
        <v>554</v>
      </c>
      <c r="E93" t="s">
        <v>555</v>
      </c>
      <c r="F93" t="s">
        <v>35</v>
      </c>
      <c r="G93" t="s">
        <v>556</v>
      </c>
    </row>
    <row r="94" spans="1:7" x14ac:dyDescent="0.3">
      <c r="A94" t="s">
        <v>557</v>
      </c>
      <c r="B94" t="s">
        <v>558</v>
      </c>
      <c r="C94" t="s">
        <v>559</v>
      </c>
      <c r="D94" t="s">
        <v>560</v>
      </c>
      <c r="E94" t="s">
        <v>561</v>
      </c>
      <c r="F94" t="s">
        <v>35</v>
      </c>
      <c r="G94" t="s">
        <v>562</v>
      </c>
    </row>
    <row r="95" spans="1:7" x14ac:dyDescent="0.3">
      <c r="A95" t="s">
        <v>563</v>
      </c>
      <c r="B95" t="s">
        <v>564</v>
      </c>
      <c r="C95" t="s">
        <v>565</v>
      </c>
      <c r="D95" t="s">
        <v>566</v>
      </c>
      <c r="E95" t="s">
        <v>567</v>
      </c>
      <c r="F95" t="s">
        <v>22</v>
      </c>
      <c r="G95" t="s">
        <v>568</v>
      </c>
    </row>
    <row r="96" spans="1:7" x14ac:dyDescent="0.3">
      <c r="A96" t="s">
        <v>569</v>
      </c>
      <c r="B96" t="s">
        <v>570</v>
      </c>
      <c r="C96" t="s">
        <v>571</v>
      </c>
      <c r="D96" t="s">
        <v>572</v>
      </c>
      <c r="E96" t="s">
        <v>573</v>
      </c>
      <c r="F96" t="s">
        <v>22</v>
      </c>
      <c r="G96" t="s">
        <v>574</v>
      </c>
    </row>
    <row r="97" spans="1:7" x14ac:dyDescent="0.3">
      <c r="A97" t="s">
        <v>575</v>
      </c>
      <c r="B97" t="s">
        <v>576</v>
      </c>
      <c r="C97" t="s">
        <v>577</v>
      </c>
      <c r="D97" t="s">
        <v>578</v>
      </c>
      <c r="E97" t="s">
        <v>579</v>
      </c>
      <c r="F97" t="s">
        <v>35</v>
      </c>
      <c r="G97" t="s">
        <v>580</v>
      </c>
    </row>
    <row r="98" spans="1:7" x14ac:dyDescent="0.3">
      <c r="A98" t="s">
        <v>581</v>
      </c>
      <c r="B98" t="s">
        <v>582</v>
      </c>
      <c r="C98" t="s">
        <v>583</v>
      </c>
      <c r="D98" t="s">
        <v>584</v>
      </c>
      <c r="E98" t="s">
        <v>585</v>
      </c>
      <c r="F98" t="s">
        <v>22</v>
      </c>
      <c r="G98" t="s">
        <v>586</v>
      </c>
    </row>
    <row r="99" spans="1:7" x14ac:dyDescent="0.3">
      <c r="A99" t="s">
        <v>587</v>
      </c>
      <c r="B99" t="s">
        <v>588</v>
      </c>
      <c r="C99" t="s">
        <v>589</v>
      </c>
      <c r="D99" t="s">
        <v>590</v>
      </c>
      <c r="E99" t="s">
        <v>591</v>
      </c>
      <c r="F99" t="s">
        <v>35</v>
      </c>
      <c r="G99" t="s">
        <v>592</v>
      </c>
    </row>
    <row r="100" spans="1:7" x14ac:dyDescent="0.3">
      <c r="A100" t="s">
        <v>593</v>
      </c>
      <c r="B100" t="s">
        <v>594</v>
      </c>
      <c r="C100" t="s">
        <v>324</v>
      </c>
      <c r="D100" t="s">
        <v>595</v>
      </c>
      <c r="E100" t="s">
        <v>596</v>
      </c>
      <c r="F100" t="s">
        <v>22</v>
      </c>
      <c r="G100" t="s">
        <v>597</v>
      </c>
    </row>
    <row r="101" spans="1:7" x14ac:dyDescent="0.3">
      <c r="A101" t="s">
        <v>598</v>
      </c>
      <c r="B101" t="s">
        <v>599</v>
      </c>
      <c r="C101" t="s">
        <v>600</v>
      </c>
      <c r="D101" t="s">
        <v>601</v>
      </c>
      <c r="E101" t="s">
        <v>602</v>
      </c>
      <c r="F101" t="s">
        <v>22</v>
      </c>
      <c r="G101" t="s">
        <v>603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4700-D53B-4528-B4A8-94380E8B7DA7}">
  <dimension ref="A1:Q1001"/>
  <sheetViews>
    <sheetView topLeftCell="A19"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 bestFit="1" customWidth="1"/>
    <col min="13" max="13" width="19.5546875" bestFit="1" customWidth="1"/>
    <col min="14" max="14" width="20.21875" bestFit="1" customWidth="1"/>
    <col min="15" max="15" width="12.109375" bestFit="1" customWidth="1"/>
    <col min="16" max="16" width="10.5546875" bestFit="1" customWidth="1"/>
    <col min="17" max="17" width="12.109375" bestFit="1" customWidth="1"/>
    <col min="18" max="18" width="10.77734375" bestFit="1" customWidth="1"/>
  </cols>
  <sheetData>
    <row r="1" spans="1:17" x14ac:dyDescent="0.3">
      <c r="A1" t="s">
        <v>690</v>
      </c>
      <c r="B1" t="s">
        <v>11</v>
      </c>
      <c r="C1" t="s">
        <v>604</v>
      </c>
      <c r="D1" t="s">
        <v>691</v>
      </c>
      <c r="E1" t="s">
        <v>692</v>
      </c>
      <c r="F1" t="s">
        <v>693</v>
      </c>
      <c r="G1" t="s">
        <v>694</v>
      </c>
      <c r="H1" t="s">
        <v>695</v>
      </c>
      <c r="I1" t="s">
        <v>696</v>
      </c>
      <c r="J1" t="s">
        <v>608</v>
      </c>
      <c r="K1" t="s">
        <v>697</v>
      </c>
      <c r="L1" t="s">
        <v>698</v>
      </c>
      <c r="M1" t="s">
        <v>699</v>
      </c>
      <c r="N1" t="s">
        <v>700</v>
      </c>
      <c r="O1" t="s">
        <v>607</v>
      </c>
      <c r="P1" t="s">
        <v>934</v>
      </c>
      <c r="Q1" t="s">
        <v>935</v>
      </c>
    </row>
    <row r="2" spans="1:17" x14ac:dyDescent="0.3">
      <c r="A2">
        <v>5</v>
      </c>
      <c r="B2" t="s">
        <v>470</v>
      </c>
      <c r="C2">
        <v>58</v>
      </c>
      <c r="D2">
        <v>2</v>
      </c>
      <c r="E2" s="2">
        <v>44968</v>
      </c>
      <c r="F2" s="3">
        <v>0.82277777777777783</v>
      </c>
      <c r="G2" s="2">
        <v>44975</v>
      </c>
      <c r="H2" s="3">
        <v>0.46449074074074076</v>
      </c>
      <c r="I2" t="s">
        <v>709</v>
      </c>
      <c r="J2" t="s">
        <v>614</v>
      </c>
      <c r="K2" t="s">
        <v>702</v>
      </c>
      <c r="L2">
        <v>19</v>
      </c>
      <c r="M2">
        <v>7</v>
      </c>
      <c r="N2">
        <v>11</v>
      </c>
      <c r="O2">
        <v>1492</v>
      </c>
      <c r="P2">
        <v>2984</v>
      </c>
      <c r="Q2" t="s">
        <v>936</v>
      </c>
    </row>
    <row r="3" spans="1:17" x14ac:dyDescent="0.3">
      <c r="A3">
        <v>56</v>
      </c>
      <c r="B3" t="s">
        <v>569</v>
      </c>
      <c r="C3">
        <v>58</v>
      </c>
      <c r="D3">
        <v>5</v>
      </c>
      <c r="E3" s="2">
        <v>44965</v>
      </c>
      <c r="F3" s="3">
        <v>0.50819444444444439</v>
      </c>
      <c r="G3" s="2">
        <v>44970</v>
      </c>
      <c r="H3" s="3">
        <v>0.78609953703703705</v>
      </c>
      <c r="I3" t="s">
        <v>128</v>
      </c>
      <c r="J3" t="s">
        <v>614</v>
      </c>
      <c r="K3" t="s">
        <v>702</v>
      </c>
      <c r="L3">
        <v>12</v>
      </c>
      <c r="M3">
        <v>5</v>
      </c>
      <c r="N3">
        <v>18</v>
      </c>
      <c r="O3">
        <v>1492</v>
      </c>
      <c r="P3">
        <v>7460</v>
      </c>
      <c r="Q3" t="s">
        <v>937</v>
      </c>
    </row>
    <row r="4" spans="1:17" x14ac:dyDescent="0.3">
      <c r="A4">
        <v>37</v>
      </c>
      <c r="B4" t="s">
        <v>575</v>
      </c>
      <c r="C4">
        <v>19</v>
      </c>
      <c r="D4">
        <v>5</v>
      </c>
      <c r="E4" s="2">
        <v>44967</v>
      </c>
      <c r="F4" s="3">
        <v>0.45907407407407408</v>
      </c>
      <c r="G4" s="2">
        <v>44972</v>
      </c>
      <c r="H4" s="3">
        <v>0.88861111111111113</v>
      </c>
      <c r="I4" t="s">
        <v>742</v>
      </c>
      <c r="J4" t="s">
        <v>614</v>
      </c>
      <c r="K4" t="s">
        <v>702</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614</v>
      </c>
      <c r="K5" t="s">
        <v>702</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755</v>
      </c>
      <c r="J6" t="s">
        <v>614</v>
      </c>
      <c r="K6" t="s">
        <v>702</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614</v>
      </c>
      <c r="K7" t="s">
        <v>702</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764</v>
      </c>
      <c r="J8" t="s">
        <v>614</v>
      </c>
      <c r="K8" t="s">
        <v>702</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766</v>
      </c>
      <c r="J9" t="s">
        <v>614</v>
      </c>
      <c r="K9" t="s">
        <v>702</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785</v>
      </c>
      <c r="J10" t="s">
        <v>614</v>
      </c>
      <c r="K10" t="s">
        <v>702</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788</v>
      </c>
      <c r="J11" t="s">
        <v>614</v>
      </c>
      <c r="K11" t="s">
        <v>702</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614</v>
      </c>
      <c r="K12" t="s">
        <v>702</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789</v>
      </c>
      <c r="J13" t="s">
        <v>614</v>
      </c>
      <c r="K13" t="s">
        <v>702</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797</v>
      </c>
      <c r="J14" t="s">
        <v>614</v>
      </c>
      <c r="K14" t="s">
        <v>702</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614</v>
      </c>
      <c r="K15" t="s">
        <v>702</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760</v>
      </c>
      <c r="J16" t="s">
        <v>614</v>
      </c>
      <c r="K16" t="s">
        <v>702</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565</v>
      </c>
      <c r="J17" t="s">
        <v>614</v>
      </c>
      <c r="K17" t="s">
        <v>702</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810</v>
      </c>
      <c r="J18" t="s">
        <v>614</v>
      </c>
      <c r="K18" t="s">
        <v>702</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788</v>
      </c>
      <c r="J19" t="s">
        <v>614</v>
      </c>
      <c r="K19" t="s">
        <v>702</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812</v>
      </c>
      <c r="J20" t="s">
        <v>614</v>
      </c>
      <c r="K20" t="s">
        <v>702</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814</v>
      </c>
      <c r="J21" t="s">
        <v>614</v>
      </c>
      <c r="K21" t="s">
        <v>702</v>
      </c>
      <c r="L21">
        <v>11</v>
      </c>
      <c r="M21">
        <v>1</v>
      </c>
      <c r="N21">
        <v>4</v>
      </c>
      <c r="O21">
        <v>1492</v>
      </c>
      <c r="P21">
        <v>5968</v>
      </c>
      <c r="Q21" t="s">
        <v>937</v>
      </c>
    </row>
    <row r="22" spans="1:17" x14ac:dyDescent="0.3">
      <c r="A22">
        <v>206</v>
      </c>
      <c r="B22" t="s">
        <v>593</v>
      </c>
      <c r="C22">
        <v>68</v>
      </c>
      <c r="D22">
        <v>3</v>
      </c>
      <c r="E22" s="2">
        <v>44968</v>
      </c>
      <c r="F22" s="3">
        <v>0.92518518518518522</v>
      </c>
      <c r="G22" s="2">
        <v>44970</v>
      </c>
      <c r="H22" s="3">
        <v>0.52917824074074071</v>
      </c>
      <c r="I22" t="s">
        <v>819</v>
      </c>
      <c r="J22" t="s">
        <v>614</v>
      </c>
      <c r="K22" t="s">
        <v>702</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827</v>
      </c>
      <c r="J23" t="s">
        <v>614</v>
      </c>
      <c r="K23" t="s">
        <v>702</v>
      </c>
      <c r="L23">
        <v>8</v>
      </c>
      <c r="M23">
        <v>8</v>
      </c>
      <c r="N23">
        <v>10</v>
      </c>
      <c r="O23">
        <v>903</v>
      </c>
      <c r="P23">
        <v>1806</v>
      </c>
      <c r="Q23" t="s">
        <v>939</v>
      </c>
    </row>
    <row r="24" spans="1:17" x14ac:dyDescent="0.3">
      <c r="A24">
        <v>225</v>
      </c>
      <c r="B24" t="s">
        <v>557</v>
      </c>
      <c r="C24">
        <v>52</v>
      </c>
      <c r="D24">
        <v>5</v>
      </c>
      <c r="E24" s="2">
        <v>44962</v>
      </c>
      <c r="F24" s="3">
        <v>0.50863425925925931</v>
      </c>
      <c r="G24" s="2">
        <v>44963</v>
      </c>
      <c r="H24" s="3">
        <v>0.7507638888888889</v>
      </c>
      <c r="I24" t="s">
        <v>829</v>
      </c>
      <c r="J24" t="s">
        <v>614</v>
      </c>
      <c r="K24" t="s">
        <v>702</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831</v>
      </c>
      <c r="J25" t="s">
        <v>614</v>
      </c>
      <c r="K25" t="s">
        <v>702</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835</v>
      </c>
      <c r="J26" t="s">
        <v>614</v>
      </c>
      <c r="K26" t="s">
        <v>702</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837</v>
      </c>
      <c r="J27" t="s">
        <v>614</v>
      </c>
      <c r="K27" t="s">
        <v>702</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839</v>
      </c>
      <c r="J28" t="s">
        <v>614</v>
      </c>
      <c r="K28" t="s">
        <v>702</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840</v>
      </c>
      <c r="J29" t="s">
        <v>614</v>
      </c>
      <c r="K29" t="s">
        <v>702</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720</v>
      </c>
      <c r="J30" t="s">
        <v>614</v>
      </c>
      <c r="K30" t="s">
        <v>702</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836</v>
      </c>
      <c r="J31" t="s">
        <v>614</v>
      </c>
      <c r="K31" t="s">
        <v>702</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614</v>
      </c>
      <c r="K32" t="s">
        <v>702</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833</v>
      </c>
      <c r="J33" t="s">
        <v>614</v>
      </c>
      <c r="K33" t="s">
        <v>702</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811</v>
      </c>
      <c r="J34" t="s">
        <v>614</v>
      </c>
      <c r="K34" t="s">
        <v>702</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854</v>
      </c>
      <c r="J35" t="s">
        <v>614</v>
      </c>
      <c r="K35" t="s">
        <v>702</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823</v>
      </c>
      <c r="J36" t="s">
        <v>614</v>
      </c>
      <c r="K36" t="s">
        <v>702</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850</v>
      </c>
      <c r="J37" t="s">
        <v>614</v>
      </c>
      <c r="K37" t="s">
        <v>702</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614</v>
      </c>
      <c r="K38" t="s">
        <v>702</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614</v>
      </c>
      <c r="K39" t="s">
        <v>702</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816</v>
      </c>
      <c r="J40" t="s">
        <v>614</v>
      </c>
      <c r="K40" t="s">
        <v>702</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707</v>
      </c>
      <c r="J41" t="s">
        <v>614</v>
      </c>
      <c r="K41" t="s">
        <v>702</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873</v>
      </c>
      <c r="J42" t="s">
        <v>614</v>
      </c>
      <c r="K42" t="s">
        <v>702</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875</v>
      </c>
      <c r="J43" t="s">
        <v>614</v>
      </c>
      <c r="K43" t="s">
        <v>702</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876</v>
      </c>
      <c r="J44" t="s">
        <v>614</v>
      </c>
      <c r="K44" t="s">
        <v>702</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614</v>
      </c>
      <c r="K45" t="s">
        <v>702</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866</v>
      </c>
      <c r="J46" t="s">
        <v>614</v>
      </c>
      <c r="K46" t="s">
        <v>702</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790</v>
      </c>
      <c r="J47" t="s">
        <v>614</v>
      </c>
      <c r="K47" t="s">
        <v>702</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775</v>
      </c>
      <c r="J48" t="s">
        <v>614</v>
      </c>
      <c r="K48" t="s">
        <v>702</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804</v>
      </c>
      <c r="J49" t="s">
        <v>614</v>
      </c>
      <c r="K49" t="s">
        <v>702</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828</v>
      </c>
      <c r="J50" t="s">
        <v>614</v>
      </c>
      <c r="K50" t="s">
        <v>702</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722</v>
      </c>
      <c r="J51" t="s">
        <v>614</v>
      </c>
      <c r="K51" t="s">
        <v>702</v>
      </c>
      <c r="L51">
        <v>22</v>
      </c>
      <c r="M51">
        <v>3</v>
      </c>
      <c r="N51">
        <v>22</v>
      </c>
      <c r="O51">
        <v>314</v>
      </c>
      <c r="P51">
        <v>628</v>
      </c>
      <c r="Q51" t="s">
        <v>939</v>
      </c>
    </row>
    <row r="52" spans="1:17" x14ac:dyDescent="0.3">
      <c r="A52">
        <v>477</v>
      </c>
      <c r="B52" t="s">
        <v>593</v>
      </c>
      <c r="C52">
        <v>33</v>
      </c>
      <c r="D52">
        <v>4</v>
      </c>
      <c r="E52" s="2">
        <v>44969</v>
      </c>
      <c r="F52" s="3">
        <v>0.72093750000000001</v>
      </c>
      <c r="G52" s="2">
        <v>44971</v>
      </c>
      <c r="H52" s="3">
        <v>0.13324074074074074</v>
      </c>
      <c r="I52" t="s">
        <v>116</v>
      </c>
      <c r="J52" t="s">
        <v>614</v>
      </c>
      <c r="K52" t="s">
        <v>702</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888</v>
      </c>
      <c r="J53" t="s">
        <v>614</v>
      </c>
      <c r="K53" t="s">
        <v>702</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868</v>
      </c>
      <c r="J54" t="s">
        <v>614</v>
      </c>
      <c r="K54" t="s">
        <v>702</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874</v>
      </c>
      <c r="J55" t="s">
        <v>614</v>
      </c>
      <c r="K55" t="s">
        <v>702</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762</v>
      </c>
      <c r="J56" t="s">
        <v>614</v>
      </c>
      <c r="K56" t="s">
        <v>702</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799</v>
      </c>
      <c r="J57" t="s">
        <v>614</v>
      </c>
      <c r="K57" t="s">
        <v>702</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614</v>
      </c>
      <c r="K58" t="s">
        <v>702</v>
      </c>
      <c r="L58">
        <v>14</v>
      </c>
      <c r="M58">
        <v>7</v>
      </c>
      <c r="N58">
        <v>13</v>
      </c>
      <c r="O58">
        <v>1096</v>
      </c>
      <c r="P58">
        <v>4384</v>
      </c>
      <c r="Q58" t="s">
        <v>942</v>
      </c>
    </row>
    <row r="59" spans="1:17" x14ac:dyDescent="0.3">
      <c r="A59">
        <v>498</v>
      </c>
      <c r="B59" t="s">
        <v>598</v>
      </c>
      <c r="C59">
        <v>19</v>
      </c>
      <c r="D59">
        <v>4</v>
      </c>
      <c r="E59" s="2">
        <v>44970</v>
      </c>
      <c r="F59" s="3">
        <v>0.8991203703703704</v>
      </c>
      <c r="G59" s="2">
        <v>44977</v>
      </c>
      <c r="H59" s="3">
        <v>0.88500000000000001</v>
      </c>
      <c r="I59" t="s">
        <v>892</v>
      </c>
      <c r="J59" t="s">
        <v>614</v>
      </c>
      <c r="K59" t="s">
        <v>702</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869</v>
      </c>
      <c r="J60" t="s">
        <v>614</v>
      </c>
      <c r="K60" t="s">
        <v>702</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614</v>
      </c>
      <c r="K61" t="s">
        <v>702</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701</v>
      </c>
      <c r="J62" t="s">
        <v>614</v>
      </c>
      <c r="K62" t="s">
        <v>702</v>
      </c>
      <c r="L62">
        <v>12</v>
      </c>
      <c r="M62">
        <v>8</v>
      </c>
      <c r="N62">
        <v>15</v>
      </c>
      <c r="O62">
        <v>314</v>
      </c>
      <c r="P62">
        <v>942</v>
      </c>
      <c r="Q62" t="s">
        <v>936</v>
      </c>
    </row>
    <row r="63" spans="1:17" x14ac:dyDescent="0.3">
      <c r="A63">
        <v>561</v>
      </c>
      <c r="B63" t="s">
        <v>593</v>
      </c>
      <c r="C63">
        <v>49</v>
      </c>
      <c r="D63">
        <v>5</v>
      </c>
      <c r="E63" s="2">
        <v>44969</v>
      </c>
      <c r="F63" s="3">
        <v>0.5170717592592593</v>
      </c>
      <c r="G63" s="2">
        <v>44978</v>
      </c>
      <c r="H63" s="3">
        <v>0.72469907407407408</v>
      </c>
      <c r="I63" t="s">
        <v>868</v>
      </c>
      <c r="J63" t="s">
        <v>614</v>
      </c>
      <c r="K63" t="s">
        <v>702</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614</v>
      </c>
      <c r="K64" t="s">
        <v>702</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856</v>
      </c>
      <c r="J65" t="s">
        <v>614</v>
      </c>
      <c r="K65" t="s">
        <v>702</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614</v>
      </c>
      <c r="K66" t="s">
        <v>702</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771</v>
      </c>
      <c r="J67" t="s">
        <v>614</v>
      </c>
      <c r="K67" t="s">
        <v>702</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777</v>
      </c>
      <c r="J68" t="s">
        <v>614</v>
      </c>
      <c r="K68" t="s">
        <v>702</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614</v>
      </c>
      <c r="K69" t="s">
        <v>702</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755</v>
      </c>
      <c r="J70" t="s">
        <v>614</v>
      </c>
      <c r="K70" t="s">
        <v>702</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864</v>
      </c>
      <c r="J71" t="s">
        <v>614</v>
      </c>
      <c r="K71" t="s">
        <v>702</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614</v>
      </c>
      <c r="K72" t="s">
        <v>702</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756</v>
      </c>
      <c r="J73" t="s">
        <v>614</v>
      </c>
      <c r="K73" t="s">
        <v>702</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894</v>
      </c>
      <c r="J74" t="s">
        <v>614</v>
      </c>
      <c r="K74" t="s">
        <v>702</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912</v>
      </c>
      <c r="J75" t="s">
        <v>614</v>
      </c>
      <c r="K75" t="s">
        <v>702</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751</v>
      </c>
      <c r="J76" t="s">
        <v>614</v>
      </c>
      <c r="K76" t="s">
        <v>702</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733</v>
      </c>
      <c r="J77" t="s">
        <v>614</v>
      </c>
      <c r="K77" t="s">
        <v>702</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614</v>
      </c>
      <c r="K78" t="s">
        <v>702</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810</v>
      </c>
      <c r="J79" t="s">
        <v>614</v>
      </c>
      <c r="K79" t="s">
        <v>702</v>
      </c>
      <c r="L79">
        <v>9</v>
      </c>
      <c r="M79">
        <v>9</v>
      </c>
      <c r="N79">
        <v>23</v>
      </c>
      <c r="O79">
        <v>597</v>
      </c>
      <c r="P79">
        <v>1194</v>
      </c>
      <c r="Q79" t="s">
        <v>941</v>
      </c>
    </row>
    <row r="80" spans="1:17" x14ac:dyDescent="0.3">
      <c r="A80">
        <v>711</v>
      </c>
      <c r="B80" t="s">
        <v>557</v>
      </c>
      <c r="C80">
        <v>68</v>
      </c>
      <c r="D80">
        <v>3</v>
      </c>
      <c r="E80" s="2">
        <v>44961</v>
      </c>
      <c r="F80" s="3">
        <v>0.71907407407407409</v>
      </c>
      <c r="G80" s="2">
        <v>44963</v>
      </c>
      <c r="H80" s="3">
        <v>0.61866898148148153</v>
      </c>
      <c r="I80" t="s">
        <v>431</v>
      </c>
      <c r="J80" t="s">
        <v>614</v>
      </c>
      <c r="K80" t="s">
        <v>702</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920</v>
      </c>
      <c r="J81" t="s">
        <v>614</v>
      </c>
      <c r="K81" t="s">
        <v>702</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921</v>
      </c>
      <c r="J82" t="s">
        <v>614</v>
      </c>
      <c r="K82" t="s">
        <v>702</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614</v>
      </c>
      <c r="K83" t="s">
        <v>702</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721</v>
      </c>
      <c r="J84" t="s">
        <v>614</v>
      </c>
      <c r="K84" t="s">
        <v>702</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871</v>
      </c>
      <c r="J85" t="s">
        <v>614</v>
      </c>
      <c r="K85" t="s">
        <v>702</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759</v>
      </c>
      <c r="J86" t="s">
        <v>614</v>
      </c>
      <c r="K86" t="s">
        <v>702</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760</v>
      </c>
      <c r="J87" t="s">
        <v>614</v>
      </c>
      <c r="K87" t="s">
        <v>702</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823</v>
      </c>
      <c r="J88" t="s">
        <v>614</v>
      </c>
      <c r="K88" t="s">
        <v>702</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859</v>
      </c>
      <c r="J89" t="s">
        <v>614</v>
      </c>
      <c r="K89" t="s">
        <v>702</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759</v>
      </c>
      <c r="J90" t="s">
        <v>614</v>
      </c>
      <c r="K90" t="s">
        <v>702</v>
      </c>
      <c r="L90">
        <v>18</v>
      </c>
      <c r="M90">
        <v>7</v>
      </c>
      <c r="N90">
        <v>8</v>
      </c>
      <c r="O90">
        <v>1492</v>
      </c>
      <c r="P90">
        <v>5968</v>
      </c>
      <c r="Q90" t="s">
        <v>937</v>
      </c>
    </row>
    <row r="91" spans="1:17" x14ac:dyDescent="0.3">
      <c r="A91">
        <v>793</v>
      </c>
      <c r="B91" t="s">
        <v>569</v>
      </c>
      <c r="C91">
        <v>58</v>
      </c>
      <c r="D91">
        <v>5</v>
      </c>
      <c r="E91" s="2">
        <v>44962</v>
      </c>
      <c r="F91" s="3">
        <v>0.73421296296296301</v>
      </c>
      <c r="G91" s="2">
        <v>44972</v>
      </c>
      <c r="H91" s="3">
        <v>6.1307870370370374E-2</v>
      </c>
      <c r="I91" t="s">
        <v>881</v>
      </c>
      <c r="J91" t="s">
        <v>614</v>
      </c>
      <c r="K91" t="s">
        <v>702</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565</v>
      </c>
      <c r="J92" t="s">
        <v>614</v>
      </c>
      <c r="K92" t="s">
        <v>702</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712</v>
      </c>
      <c r="J93" t="s">
        <v>614</v>
      </c>
      <c r="K93" t="s">
        <v>702</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859</v>
      </c>
      <c r="J94" t="s">
        <v>614</v>
      </c>
      <c r="K94" t="s">
        <v>702</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805</v>
      </c>
      <c r="J95" t="s">
        <v>614</v>
      </c>
      <c r="K95" t="s">
        <v>702</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796</v>
      </c>
      <c r="J96" t="s">
        <v>614</v>
      </c>
      <c r="K96" t="s">
        <v>702</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883</v>
      </c>
      <c r="J97" t="s">
        <v>614</v>
      </c>
      <c r="K97" t="s">
        <v>702</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794</v>
      </c>
      <c r="J98" t="s">
        <v>614</v>
      </c>
      <c r="K98" t="s">
        <v>702</v>
      </c>
      <c r="L98">
        <v>12</v>
      </c>
      <c r="M98">
        <v>10</v>
      </c>
      <c r="N98">
        <v>17</v>
      </c>
      <c r="O98">
        <v>597</v>
      </c>
      <c r="P98">
        <v>597</v>
      </c>
      <c r="Q98" t="s">
        <v>936</v>
      </c>
    </row>
    <row r="99" spans="1:17" x14ac:dyDescent="0.3">
      <c r="A99">
        <v>879</v>
      </c>
      <c r="B99" t="s">
        <v>552</v>
      </c>
      <c r="C99">
        <v>33</v>
      </c>
      <c r="D99">
        <v>2</v>
      </c>
      <c r="E99" s="2">
        <v>44964</v>
      </c>
      <c r="F99" s="3">
        <v>0.23233796296296297</v>
      </c>
      <c r="G99" s="2">
        <v>44967</v>
      </c>
      <c r="H99" s="3">
        <v>0.47752314814814817</v>
      </c>
      <c r="I99" t="s">
        <v>777</v>
      </c>
      <c r="J99" t="s">
        <v>614</v>
      </c>
      <c r="K99" t="s">
        <v>702</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760</v>
      </c>
      <c r="J100" t="s">
        <v>614</v>
      </c>
      <c r="K100" t="s">
        <v>702</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731</v>
      </c>
      <c r="J101" t="s">
        <v>614</v>
      </c>
      <c r="K101" t="s">
        <v>702</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928</v>
      </c>
      <c r="J102" t="s">
        <v>614</v>
      </c>
      <c r="K102" t="s">
        <v>702</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878</v>
      </c>
      <c r="J103" t="s">
        <v>614</v>
      </c>
      <c r="K103" t="s">
        <v>702</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775</v>
      </c>
      <c r="J104" t="s">
        <v>614</v>
      </c>
      <c r="K104" t="s">
        <v>702</v>
      </c>
      <c r="L104">
        <v>19</v>
      </c>
      <c r="M104">
        <v>6</v>
      </c>
      <c r="N104">
        <v>8</v>
      </c>
      <c r="O104">
        <v>1492</v>
      </c>
      <c r="P104">
        <v>1492</v>
      </c>
      <c r="Q104" t="s">
        <v>938</v>
      </c>
    </row>
    <row r="105" spans="1:17" x14ac:dyDescent="0.3">
      <c r="A105">
        <v>906</v>
      </c>
      <c r="B105" t="s">
        <v>598</v>
      </c>
      <c r="C105">
        <v>49</v>
      </c>
      <c r="D105">
        <v>3</v>
      </c>
      <c r="E105" s="2">
        <v>44963</v>
      </c>
      <c r="F105" s="3">
        <v>5.3009259259259256E-2</v>
      </c>
      <c r="G105" s="2">
        <v>44973</v>
      </c>
      <c r="H105" s="3">
        <v>0.38527777777777777</v>
      </c>
      <c r="I105" t="s">
        <v>825</v>
      </c>
      <c r="J105" t="s">
        <v>614</v>
      </c>
      <c r="K105" t="s">
        <v>702</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614</v>
      </c>
      <c r="K106" t="s">
        <v>702</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710</v>
      </c>
      <c r="J107" t="s">
        <v>614</v>
      </c>
      <c r="K107" t="s">
        <v>702</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913</v>
      </c>
      <c r="J108" t="s">
        <v>614</v>
      </c>
      <c r="K108" t="s">
        <v>702</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800</v>
      </c>
      <c r="J109" t="s">
        <v>614</v>
      </c>
      <c r="K109" t="s">
        <v>702</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791</v>
      </c>
      <c r="J110" t="s">
        <v>614</v>
      </c>
      <c r="K110" t="s">
        <v>702</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614</v>
      </c>
      <c r="K111" t="s">
        <v>702</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930</v>
      </c>
      <c r="J112" t="s">
        <v>614</v>
      </c>
      <c r="K112" t="s">
        <v>702</v>
      </c>
      <c r="L112">
        <v>22</v>
      </c>
      <c r="M112">
        <v>8</v>
      </c>
      <c r="N112">
        <v>6</v>
      </c>
      <c r="O112">
        <v>597</v>
      </c>
      <c r="P112">
        <v>1194</v>
      </c>
      <c r="Q112" t="s">
        <v>940</v>
      </c>
    </row>
    <row r="113" spans="1:17" x14ac:dyDescent="0.3">
      <c r="A113">
        <v>997</v>
      </c>
      <c r="B113" t="s">
        <v>587</v>
      </c>
      <c r="C113">
        <v>19</v>
      </c>
      <c r="D113">
        <v>2</v>
      </c>
      <c r="E113" s="2">
        <v>44961</v>
      </c>
      <c r="F113" s="3">
        <v>0.18642361111111111</v>
      </c>
      <c r="G113" s="2">
        <v>44967</v>
      </c>
      <c r="H113" s="3">
        <v>0.49333333333333335</v>
      </c>
      <c r="I113" t="s">
        <v>921</v>
      </c>
      <c r="J113" t="s">
        <v>614</v>
      </c>
      <c r="K113" t="s">
        <v>702</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614</v>
      </c>
      <c r="K114" t="s">
        <v>702</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701</v>
      </c>
      <c r="J115" t="s">
        <v>626</v>
      </c>
      <c r="K115" t="s">
        <v>702</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611</v>
      </c>
      <c r="K116" t="s">
        <v>702</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718</v>
      </c>
      <c r="J117" t="s">
        <v>623</v>
      </c>
      <c r="K117" t="s">
        <v>702</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704</v>
      </c>
      <c r="J118" t="s">
        <v>623</v>
      </c>
      <c r="K118" t="s">
        <v>702</v>
      </c>
      <c r="L118">
        <v>13</v>
      </c>
      <c r="M118">
        <v>2</v>
      </c>
      <c r="N118">
        <v>6</v>
      </c>
      <c r="O118">
        <v>409</v>
      </c>
      <c r="P118">
        <v>2045</v>
      </c>
      <c r="Q118" t="s">
        <v>939</v>
      </c>
    </row>
    <row r="119" spans="1:17" x14ac:dyDescent="0.3">
      <c r="A119">
        <v>10</v>
      </c>
      <c r="B119" t="s">
        <v>593</v>
      </c>
      <c r="C119">
        <v>56</v>
      </c>
      <c r="D119">
        <v>3</v>
      </c>
      <c r="E119" s="2">
        <v>44983</v>
      </c>
      <c r="F119" s="3">
        <v>1.2106481481481482E-2</v>
      </c>
      <c r="G119" s="2">
        <v>44993</v>
      </c>
      <c r="H119" s="3">
        <v>0.86646990740740737</v>
      </c>
      <c r="I119" t="s">
        <v>727</v>
      </c>
      <c r="J119" t="s">
        <v>626</v>
      </c>
      <c r="K119" t="s">
        <v>702</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734</v>
      </c>
      <c r="J120" t="s">
        <v>626</v>
      </c>
      <c r="K120" t="s">
        <v>702</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735</v>
      </c>
      <c r="J121" t="s">
        <v>626</v>
      </c>
      <c r="K121" t="s">
        <v>702</v>
      </c>
      <c r="L121">
        <v>15</v>
      </c>
      <c r="M121">
        <v>4</v>
      </c>
      <c r="N121">
        <v>22</v>
      </c>
      <c r="O121">
        <v>697</v>
      </c>
      <c r="P121">
        <v>2091</v>
      </c>
      <c r="Q121" t="s">
        <v>942</v>
      </c>
    </row>
    <row r="122" spans="1:17" x14ac:dyDescent="0.3">
      <c r="A122">
        <v>21</v>
      </c>
      <c r="B122" t="s">
        <v>540</v>
      </c>
      <c r="C122">
        <v>32</v>
      </c>
      <c r="D122">
        <v>1</v>
      </c>
      <c r="E122" s="2">
        <v>44966</v>
      </c>
      <c r="F122" s="3">
        <v>0.47282407407407406</v>
      </c>
      <c r="G122" s="2">
        <v>44969</v>
      </c>
      <c r="H122" s="3">
        <v>0.48363425925925924</v>
      </c>
      <c r="I122" t="s">
        <v>743</v>
      </c>
      <c r="J122" t="s">
        <v>630</v>
      </c>
      <c r="K122" t="s">
        <v>702</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750</v>
      </c>
      <c r="J123" t="s">
        <v>623</v>
      </c>
      <c r="K123" t="s">
        <v>702</v>
      </c>
      <c r="L123">
        <v>0</v>
      </c>
      <c r="M123">
        <v>9</v>
      </c>
      <c r="N123">
        <v>17</v>
      </c>
      <c r="O123">
        <v>1865</v>
      </c>
      <c r="P123">
        <v>1865</v>
      </c>
      <c r="Q123" t="s">
        <v>939</v>
      </c>
    </row>
    <row r="124" spans="1:17" x14ac:dyDescent="0.3">
      <c r="A124">
        <v>57</v>
      </c>
      <c r="B124" t="s">
        <v>540</v>
      </c>
      <c r="C124">
        <v>35</v>
      </c>
      <c r="D124">
        <v>5</v>
      </c>
      <c r="E124" s="2">
        <v>44983</v>
      </c>
      <c r="F124" s="3">
        <v>0.33350694444444445</v>
      </c>
      <c r="G124" s="2">
        <v>44991</v>
      </c>
      <c r="H124" s="3">
        <v>0.5191203703703704</v>
      </c>
      <c r="I124" t="s">
        <v>749</v>
      </c>
      <c r="J124" t="s">
        <v>623</v>
      </c>
      <c r="K124" t="s">
        <v>702</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745</v>
      </c>
      <c r="J125" t="s">
        <v>623</v>
      </c>
      <c r="K125" t="s">
        <v>702</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611</v>
      </c>
      <c r="K126" t="s">
        <v>702</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768</v>
      </c>
      <c r="J127" t="s">
        <v>623</v>
      </c>
      <c r="K127" t="s">
        <v>702</v>
      </c>
      <c r="L127">
        <v>13</v>
      </c>
      <c r="M127">
        <v>6</v>
      </c>
      <c r="N127">
        <v>13</v>
      </c>
      <c r="O127">
        <v>1112</v>
      </c>
      <c r="P127">
        <v>2224</v>
      </c>
      <c r="Q127" t="s">
        <v>940</v>
      </c>
    </row>
    <row r="128" spans="1:17" x14ac:dyDescent="0.3">
      <c r="A128">
        <v>103</v>
      </c>
      <c r="B128" t="s">
        <v>581</v>
      </c>
      <c r="C128">
        <v>18</v>
      </c>
      <c r="D128">
        <v>3</v>
      </c>
      <c r="E128" s="2">
        <v>44958</v>
      </c>
      <c r="F128" s="3">
        <v>0.51734953703703701</v>
      </c>
      <c r="G128" s="2">
        <v>44965</v>
      </c>
      <c r="H128" s="3">
        <v>0.95253472222222224</v>
      </c>
      <c r="I128" t="s">
        <v>775</v>
      </c>
      <c r="J128" t="s">
        <v>630</v>
      </c>
      <c r="K128" t="s">
        <v>702</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630</v>
      </c>
      <c r="K129" t="s">
        <v>702</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623</v>
      </c>
      <c r="K130" t="s">
        <v>702</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734</v>
      </c>
      <c r="J131" t="s">
        <v>623</v>
      </c>
      <c r="K131" t="s">
        <v>702</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780</v>
      </c>
      <c r="J132" t="s">
        <v>626</v>
      </c>
      <c r="K132" t="s">
        <v>702</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708</v>
      </c>
      <c r="J133" t="s">
        <v>623</v>
      </c>
      <c r="K133" t="s">
        <v>702</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778</v>
      </c>
      <c r="J134" t="s">
        <v>626</v>
      </c>
      <c r="K134" t="s">
        <v>702</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793</v>
      </c>
      <c r="J135" t="s">
        <v>623</v>
      </c>
      <c r="K135" t="s">
        <v>702</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794</v>
      </c>
      <c r="J136" t="s">
        <v>623</v>
      </c>
      <c r="K136" t="s">
        <v>702</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611</v>
      </c>
      <c r="K137" t="s">
        <v>702</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774</v>
      </c>
      <c r="J138" t="s">
        <v>626</v>
      </c>
      <c r="K138" t="s">
        <v>702</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758</v>
      </c>
      <c r="J139" t="s">
        <v>623</v>
      </c>
      <c r="K139" t="s">
        <v>702</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804</v>
      </c>
      <c r="J140" t="s">
        <v>626</v>
      </c>
      <c r="K140" t="s">
        <v>702</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739</v>
      </c>
      <c r="J141" t="s">
        <v>623</v>
      </c>
      <c r="K141" t="s">
        <v>702</v>
      </c>
      <c r="L141">
        <v>15</v>
      </c>
      <c r="M141">
        <v>10</v>
      </c>
      <c r="N141">
        <v>14</v>
      </c>
      <c r="O141">
        <v>1638</v>
      </c>
      <c r="P141">
        <v>4914</v>
      </c>
      <c r="Q141" t="s">
        <v>941</v>
      </c>
    </row>
    <row r="142" spans="1:17" x14ac:dyDescent="0.3">
      <c r="A142">
        <v>212</v>
      </c>
      <c r="B142" t="s">
        <v>557</v>
      </c>
      <c r="C142">
        <v>7</v>
      </c>
      <c r="D142">
        <v>2</v>
      </c>
      <c r="E142" s="2">
        <v>44985</v>
      </c>
      <c r="F142" s="3">
        <v>0.30185185185185187</v>
      </c>
      <c r="G142" s="2">
        <v>44990</v>
      </c>
      <c r="H142" s="3">
        <v>0.83454861111111112</v>
      </c>
      <c r="I142" t="s">
        <v>774</v>
      </c>
      <c r="J142" t="s">
        <v>623</v>
      </c>
      <c r="K142" t="s">
        <v>702</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822</v>
      </c>
      <c r="J143" t="s">
        <v>611</v>
      </c>
      <c r="K143" t="s">
        <v>702</v>
      </c>
      <c r="L143">
        <v>8</v>
      </c>
      <c r="M143">
        <v>10</v>
      </c>
      <c r="N143">
        <v>8</v>
      </c>
      <c r="O143">
        <v>1744</v>
      </c>
      <c r="P143">
        <v>8720</v>
      </c>
      <c r="Q143" t="s">
        <v>941</v>
      </c>
    </row>
    <row r="144" spans="1:17" x14ac:dyDescent="0.3">
      <c r="A144">
        <v>222</v>
      </c>
      <c r="B144" t="s">
        <v>593</v>
      </c>
      <c r="C144">
        <v>6</v>
      </c>
      <c r="D144">
        <v>5</v>
      </c>
      <c r="E144" s="2">
        <v>44983</v>
      </c>
      <c r="F144" s="3">
        <v>0.24820601851851851</v>
      </c>
      <c r="G144" s="2">
        <v>44992</v>
      </c>
      <c r="H144" s="3">
        <v>0.76446759259259256</v>
      </c>
      <c r="I144" t="s">
        <v>785</v>
      </c>
      <c r="J144" t="s">
        <v>623</v>
      </c>
      <c r="K144" t="s">
        <v>702</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626</v>
      </c>
      <c r="K145" t="s">
        <v>702</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623</v>
      </c>
      <c r="K146" t="s">
        <v>702</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931</v>
      </c>
      <c r="J147" t="s">
        <v>623</v>
      </c>
      <c r="K147" t="s">
        <v>702</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718</v>
      </c>
      <c r="J148" t="s">
        <v>623</v>
      </c>
      <c r="K148" t="s">
        <v>702</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840</v>
      </c>
      <c r="J149" t="s">
        <v>623</v>
      </c>
      <c r="K149" t="s">
        <v>702</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600</v>
      </c>
      <c r="J150" t="s">
        <v>623</v>
      </c>
      <c r="K150" t="s">
        <v>702</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623</v>
      </c>
      <c r="K151" t="s">
        <v>702</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931</v>
      </c>
      <c r="J152" t="s">
        <v>626</v>
      </c>
      <c r="K152" t="s">
        <v>702</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630</v>
      </c>
      <c r="K153" t="s">
        <v>702</v>
      </c>
      <c r="L153">
        <v>18</v>
      </c>
      <c r="M153">
        <v>9</v>
      </c>
      <c r="N153">
        <v>15</v>
      </c>
      <c r="O153">
        <v>1915</v>
      </c>
      <c r="P153">
        <v>3830</v>
      </c>
      <c r="Q153" t="s">
        <v>942</v>
      </c>
    </row>
    <row r="154" spans="1:17" x14ac:dyDescent="0.3">
      <c r="A154">
        <v>333</v>
      </c>
      <c r="B154" t="s">
        <v>598</v>
      </c>
      <c r="C154">
        <v>22</v>
      </c>
      <c r="D154">
        <v>5</v>
      </c>
      <c r="E154" s="2">
        <v>44966</v>
      </c>
      <c r="F154" s="3">
        <v>0.26336805555555554</v>
      </c>
      <c r="G154" s="2">
        <v>44967</v>
      </c>
      <c r="H154" s="3">
        <v>0.1572800925925926</v>
      </c>
      <c r="I154" t="s">
        <v>863</v>
      </c>
      <c r="J154" t="s">
        <v>611</v>
      </c>
      <c r="K154" t="s">
        <v>702</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770</v>
      </c>
      <c r="J155" t="s">
        <v>623</v>
      </c>
      <c r="K155" t="s">
        <v>702</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623</v>
      </c>
      <c r="K156" t="s">
        <v>702</v>
      </c>
      <c r="L156">
        <v>12</v>
      </c>
      <c r="M156">
        <v>5</v>
      </c>
      <c r="N156">
        <v>20</v>
      </c>
      <c r="O156">
        <v>1638</v>
      </c>
      <c r="P156">
        <v>3276</v>
      </c>
      <c r="Q156" t="s">
        <v>941</v>
      </c>
    </row>
    <row r="157" spans="1:17" x14ac:dyDescent="0.3">
      <c r="A157">
        <v>375</v>
      </c>
      <c r="B157" t="s">
        <v>546</v>
      </c>
      <c r="C157">
        <v>46</v>
      </c>
      <c r="D157">
        <v>1</v>
      </c>
      <c r="E157" s="2">
        <v>44968</v>
      </c>
      <c r="F157" s="3">
        <v>0.17806712962962962</v>
      </c>
      <c r="G157" s="2">
        <v>44977</v>
      </c>
      <c r="H157" s="3">
        <v>0.8178009259259259</v>
      </c>
      <c r="I157" t="s">
        <v>867</v>
      </c>
      <c r="J157" t="s">
        <v>626</v>
      </c>
      <c r="K157" t="s">
        <v>702</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706</v>
      </c>
      <c r="J158" t="s">
        <v>623</v>
      </c>
      <c r="K158" t="s">
        <v>702</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735</v>
      </c>
      <c r="J159" t="s">
        <v>623</v>
      </c>
      <c r="K159" t="s">
        <v>702</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623</v>
      </c>
      <c r="K160" t="s">
        <v>702</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623</v>
      </c>
      <c r="K161" t="s">
        <v>702</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751</v>
      </c>
      <c r="J162" t="s">
        <v>623</v>
      </c>
      <c r="K162" t="s">
        <v>702</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880</v>
      </c>
      <c r="J163" t="s">
        <v>623</v>
      </c>
      <c r="K163" t="s">
        <v>702</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787</v>
      </c>
      <c r="J164" t="s">
        <v>623</v>
      </c>
      <c r="K164" t="s">
        <v>702</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708</v>
      </c>
      <c r="J165" t="s">
        <v>623</v>
      </c>
      <c r="K165" t="s">
        <v>702</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611</v>
      </c>
      <c r="K166" t="s">
        <v>702</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802</v>
      </c>
      <c r="J167" t="s">
        <v>623</v>
      </c>
      <c r="K167" t="s">
        <v>702</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761</v>
      </c>
      <c r="J168" t="s">
        <v>623</v>
      </c>
      <c r="K168" t="s">
        <v>702</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623</v>
      </c>
      <c r="K169" t="s">
        <v>702</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765</v>
      </c>
      <c r="J170" t="s">
        <v>623</v>
      </c>
      <c r="K170" t="s">
        <v>702</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873</v>
      </c>
      <c r="J171" t="s">
        <v>611</v>
      </c>
      <c r="K171" t="s">
        <v>702</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900</v>
      </c>
      <c r="J172" t="s">
        <v>626</v>
      </c>
      <c r="K172" t="s">
        <v>702</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776</v>
      </c>
      <c r="J173" t="s">
        <v>626</v>
      </c>
      <c r="K173" t="s">
        <v>702</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901</v>
      </c>
      <c r="J174" t="s">
        <v>623</v>
      </c>
      <c r="K174" t="s">
        <v>702</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902</v>
      </c>
      <c r="J175" t="s">
        <v>623</v>
      </c>
      <c r="K175" t="s">
        <v>702</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905</v>
      </c>
      <c r="J176" t="s">
        <v>623</v>
      </c>
      <c r="K176" t="s">
        <v>702</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623</v>
      </c>
      <c r="K177" t="s">
        <v>702</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879</v>
      </c>
      <c r="J178" t="s">
        <v>611</v>
      </c>
      <c r="K178" t="s">
        <v>702</v>
      </c>
      <c r="L178">
        <v>2</v>
      </c>
      <c r="M178">
        <v>9</v>
      </c>
      <c r="N178">
        <v>17</v>
      </c>
      <c r="O178">
        <v>1639</v>
      </c>
      <c r="P178">
        <v>1639</v>
      </c>
      <c r="Q178" t="s">
        <v>939</v>
      </c>
    </row>
    <row r="179" spans="1:17" x14ac:dyDescent="0.3">
      <c r="A179">
        <v>625</v>
      </c>
      <c r="B179" t="s">
        <v>534</v>
      </c>
      <c r="C179">
        <v>63</v>
      </c>
      <c r="D179">
        <v>5</v>
      </c>
      <c r="E179" s="2">
        <v>44980</v>
      </c>
      <c r="F179" s="3">
        <v>0.88590277777777782</v>
      </c>
      <c r="G179" s="2">
        <v>44989</v>
      </c>
      <c r="H179" s="3">
        <v>0.11534722222222223</v>
      </c>
      <c r="I179" t="s">
        <v>732</v>
      </c>
      <c r="J179" t="s">
        <v>611</v>
      </c>
      <c r="K179" t="s">
        <v>702</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712</v>
      </c>
      <c r="J180" t="s">
        <v>611</v>
      </c>
      <c r="K180" t="s">
        <v>702</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626</v>
      </c>
      <c r="K181" t="s">
        <v>702</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764</v>
      </c>
      <c r="J182" t="s">
        <v>623</v>
      </c>
      <c r="K182" t="s">
        <v>702</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623</v>
      </c>
      <c r="K183" t="s">
        <v>702</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707</v>
      </c>
      <c r="J184" t="s">
        <v>630</v>
      </c>
      <c r="K184" t="s">
        <v>702</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883</v>
      </c>
      <c r="J185" t="s">
        <v>626</v>
      </c>
      <c r="K185" t="s">
        <v>702</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913</v>
      </c>
      <c r="J186" t="s">
        <v>623</v>
      </c>
      <c r="K186" t="s">
        <v>702</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626</v>
      </c>
      <c r="K187" t="s">
        <v>702</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623</v>
      </c>
      <c r="K188" t="s">
        <v>702</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840</v>
      </c>
      <c r="J189" t="s">
        <v>630</v>
      </c>
      <c r="K189" t="s">
        <v>702</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903</v>
      </c>
      <c r="J190" t="s">
        <v>630</v>
      </c>
      <c r="K190" t="s">
        <v>702</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728</v>
      </c>
      <c r="J191" t="s">
        <v>626</v>
      </c>
      <c r="K191" t="s">
        <v>702</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718</v>
      </c>
      <c r="J192" t="s">
        <v>626</v>
      </c>
      <c r="K192" t="s">
        <v>702</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766</v>
      </c>
      <c r="J193" t="s">
        <v>623</v>
      </c>
      <c r="K193" t="s">
        <v>702</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839</v>
      </c>
      <c r="J194" t="s">
        <v>623</v>
      </c>
      <c r="K194" t="s">
        <v>702</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630</v>
      </c>
      <c r="K195" t="s">
        <v>702</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892</v>
      </c>
      <c r="J196" t="s">
        <v>630</v>
      </c>
      <c r="K196" t="s">
        <v>702</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798</v>
      </c>
      <c r="J197" t="s">
        <v>623</v>
      </c>
      <c r="K197" t="s">
        <v>702</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810</v>
      </c>
      <c r="J198" t="s">
        <v>623</v>
      </c>
      <c r="K198" t="s">
        <v>702</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781</v>
      </c>
      <c r="J199" t="s">
        <v>623</v>
      </c>
      <c r="K199" t="s">
        <v>702</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804</v>
      </c>
      <c r="J200" t="s">
        <v>623</v>
      </c>
      <c r="K200" t="s">
        <v>702</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816</v>
      </c>
      <c r="J201" t="s">
        <v>630</v>
      </c>
      <c r="K201" t="s">
        <v>702</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813</v>
      </c>
      <c r="J202" t="s">
        <v>611</v>
      </c>
      <c r="K202" t="s">
        <v>702</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925</v>
      </c>
      <c r="J203" t="s">
        <v>623</v>
      </c>
      <c r="K203" t="s">
        <v>702</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816</v>
      </c>
      <c r="J204" t="s">
        <v>611</v>
      </c>
      <c r="K204" t="s">
        <v>702</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800</v>
      </c>
      <c r="J205" t="s">
        <v>630</v>
      </c>
      <c r="K205" t="s">
        <v>702</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623</v>
      </c>
      <c r="K206" t="s">
        <v>702</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749</v>
      </c>
      <c r="J207" t="s">
        <v>623</v>
      </c>
      <c r="K207" t="s">
        <v>702</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770</v>
      </c>
      <c r="J208" t="s">
        <v>611</v>
      </c>
      <c r="K208" t="s">
        <v>702</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815</v>
      </c>
      <c r="J209" t="s">
        <v>623</v>
      </c>
      <c r="K209" t="s">
        <v>702</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786</v>
      </c>
      <c r="J210" t="s">
        <v>611</v>
      </c>
      <c r="K210" t="s">
        <v>702</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803</v>
      </c>
      <c r="J211" t="s">
        <v>623</v>
      </c>
      <c r="K211" t="s">
        <v>702</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803</v>
      </c>
      <c r="J212" t="s">
        <v>623</v>
      </c>
      <c r="K212" t="s">
        <v>702</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795</v>
      </c>
      <c r="J213" t="s">
        <v>623</v>
      </c>
      <c r="K213" t="s">
        <v>702</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803</v>
      </c>
      <c r="J214" t="s">
        <v>630</v>
      </c>
      <c r="K214" t="s">
        <v>702</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730</v>
      </c>
      <c r="J215" t="s">
        <v>630</v>
      </c>
      <c r="K215" t="s">
        <v>715</v>
      </c>
      <c r="L215">
        <v>9</v>
      </c>
      <c r="M215">
        <v>4</v>
      </c>
      <c r="N215">
        <v>16</v>
      </c>
      <c r="O215">
        <v>259</v>
      </c>
      <c r="P215">
        <v>259</v>
      </c>
      <c r="Q215" t="s">
        <v>937</v>
      </c>
    </row>
    <row r="216" spans="1:17" x14ac:dyDescent="0.3">
      <c r="A216">
        <v>96</v>
      </c>
      <c r="B216" t="s">
        <v>593</v>
      </c>
      <c r="C216">
        <v>25</v>
      </c>
      <c r="D216">
        <v>3</v>
      </c>
      <c r="E216" s="2">
        <v>44999</v>
      </c>
      <c r="F216" s="3">
        <v>0.62524305555555559</v>
      </c>
      <c r="G216" s="2">
        <v>45008</v>
      </c>
      <c r="H216" s="3">
        <v>0.37229166666666669</v>
      </c>
      <c r="I216" t="s">
        <v>771</v>
      </c>
      <c r="J216" t="s">
        <v>626</v>
      </c>
      <c r="K216" t="s">
        <v>715</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611</v>
      </c>
      <c r="K217" t="s">
        <v>715</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779</v>
      </c>
      <c r="J218" t="s">
        <v>626</v>
      </c>
      <c r="K218" t="s">
        <v>715</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791</v>
      </c>
      <c r="J219" t="s">
        <v>630</v>
      </c>
      <c r="K219" t="s">
        <v>715</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798</v>
      </c>
      <c r="J220" t="s">
        <v>626</v>
      </c>
      <c r="K220" t="s">
        <v>715</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630</v>
      </c>
      <c r="K221" t="s">
        <v>715</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740</v>
      </c>
      <c r="J222" t="s">
        <v>626</v>
      </c>
      <c r="K222" t="s">
        <v>715</v>
      </c>
      <c r="L222">
        <v>3</v>
      </c>
      <c r="M222">
        <v>6</v>
      </c>
      <c r="N222">
        <v>17</v>
      </c>
      <c r="O222">
        <v>1899</v>
      </c>
      <c r="P222">
        <v>3798</v>
      </c>
      <c r="Q222" t="s">
        <v>938</v>
      </c>
    </row>
    <row r="223" spans="1:17" x14ac:dyDescent="0.3">
      <c r="A223">
        <v>197</v>
      </c>
      <c r="B223" t="s">
        <v>569</v>
      </c>
      <c r="C223">
        <v>45</v>
      </c>
      <c r="D223">
        <v>2</v>
      </c>
      <c r="E223" s="2">
        <v>45007</v>
      </c>
      <c r="F223" s="3">
        <v>0.77687499999999998</v>
      </c>
      <c r="G223" s="2">
        <v>45011</v>
      </c>
      <c r="H223" s="3">
        <v>0.14590277777777777</v>
      </c>
      <c r="I223" t="s">
        <v>813</v>
      </c>
      <c r="J223" t="s">
        <v>630</v>
      </c>
      <c r="K223" t="s">
        <v>715</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830</v>
      </c>
      <c r="J224" t="s">
        <v>630</v>
      </c>
      <c r="K224" t="s">
        <v>715</v>
      </c>
      <c r="L224">
        <v>18</v>
      </c>
      <c r="M224">
        <v>1</v>
      </c>
      <c r="N224">
        <v>10</v>
      </c>
      <c r="O224">
        <v>203</v>
      </c>
      <c r="P224">
        <v>203</v>
      </c>
      <c r="Q224" t="s">
        <v>938</v>
      </c>
    </row>
    <row r="225" spans="1:17" x14ac:dyDescent="0.3">
      <c r="A225">
        <v>234</v>
      </c>
      <c r="B225" t="s">
        <v>581</v>
      </c>
      <c r="C225">
        <v>42</v>
      </c>
      <c r="D225">
        <v>1</v>
      </c>
      <c r="E225" s="2">
        <v>45009</v>
      </c>
      <c r="F225" s="3">
        <v>0.88763888888888887</v>
      </c>
      <c r="G225" s="2">
        <v>45017</v>
      </c>
      <c r="H225" s="3">
        <v>2.5613425925925925E-2</v>
      </c>
      <c r="I225" t="s">
        <v>146</v>
      </c>
      <c r="J225" t="s">
        <v>611</v>
      </c>
      <c r="K225" t="s">
        <v>715</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710</v>
      </c>
      <c r="J226" t="s">
        <v>611</v>
      </c>
      <c r="K226" t="s">
        <v>715</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611</v>
      </c>
      <c r="K227" t="s">
        <v>715</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748</v>
      </c>
      <c r="J228" t="s">
        <v>630</v>
      </c>
      <c r="K228" t="s">
        <v>715</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626</v>
      </c>
      <c r="K229" t="s">
        <v>715</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757</v>
      </c>
      <c r="J230" t="s">
        <v>630</v>
      </c>
      <c r="K230" t="s">
        <v>715</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860</v>
      </c>
      <c r="J231" t="s">
        <v>626</v>
      </c>
      <c r="K231" t="s">
        <v>715</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862</v>
      </c>
      <c r="J232" t="s">
        <v>611</v>
      </c>
      <c r="K232" t="s">
        <v>715</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817</v>
      </c>
      <c r="J233" t="s">
        <v>630</v>
      </c>
      <c r="K233" t="s">
        <v>715</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807</v>
      </c>
      <c r="J234" t="s">
        <v>630</v>
      </c>
      <c r="K234" t="s">
        <v>715</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757</v>
      </c>
      <c r="J235" t="s">
        <v>611</v>
      </c>
      <c r="K235" t="s">
        <v>715</v>
      </c>
      <c r="L235">
        <v>12</v>
      </c>
      <c r="M235">
        <v>6</v>
      </c>
      <c r="N235">
        <v>4</v>
      </c>
      <c r="O235">
        <v>1804</v>
      </c>
      <c r="P235">
        <v>3608</v>
      </c>
      <c r="Q235" t="s">
        <v>939</v>
      </c>
    </row>
    <row r="236" spans="1:17" x14ac:dyDescent="0.3">
      <c r="A236">
        <v>459</v>
      </c>
      <c r="B236" t="s">
        <v>557</v>
      </c>
      <c r="C236">
        <v>12</v>
      </c>
      <c r="D236">
        <v>2</v>
      </c>
      <c r="E236" s="2">
        <v>45014</v>
      </c>
      <c r="F236" s="3">
        <v>0.30896990740740743</v>
      </c>
      <c r="G236" s="2">
        <v>45015</v>
      </c>
      <c r="H236" s="3">
        <v>0.31563657407407408</v>
      </c>
      <c r="I236" t="s">
        <v>845</v>
      </c>
      <c r="J236" t="s">
        <v>626</v>
      </c>
      <c r="K236" t="s">
        <v>715</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886</v>
      </c>
      <c r="J237" t="s">
        <v>611</v>
      </c>
      <c r="K237" t="s">
        <v>715</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718</v>
      </c>
      <c r="J238" t="s">
        <v>611</v>
      </c>
      <c r="K238" t="s">
        <v>715</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611</v>
      </c>
      <c r="K239" t="s">
        <v>715</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710</v>
      </c>
      <c r="J240" t="s">
        <v>611</v>
      </c>
      <c r="K240" t="s">
        <v>715</v>
      </c>
      <c r="L240">
        <v>19</v>
      </c>
      <c r="M240">
        <v>8</v>
      </c>
      <c r="N240">
        <v>22</v>
      </c>
      <c r="O240">
        <v>1084</v>
      </c>
      <c r="P240">
        <v>3252</v>
      </c>
      <c r="Q240" t="s">
        <v>939</v>
      </c>
    </row>
    <row r="241" spans="1:17" x14ac:dyDescent="0.3">
      <c r="A241">
        <v>687</v>
      </c>
      <c r="B241" t="s">
        <v>587</v>
      </c>
      <c r="C241">
        <v>8</v>
      </c>
      <c r="D241">
        <v>5</v>
      </c>
      <c r="E241" s="2">
        <v>45000</v>
      </c>
      <c r="F241" s="3">
        <v>0.74809027777777781</v>
      </c>
      <c r="G241" s="2">
        <v>45004</v>
      </c>
      <c r="H241" s="3">
        <v>0.20201388888888888</v>
      </c>
      <c r="I241" t="s">
        <v>915</v>
      </c>
      <c r="J241" t="s">
        <v>626</v>
      </c>
      <c r="K241" t="s">
        <v>715</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626</v>
      </c>
      <c r="K242" t="s">
        <v>715</v>
      </c>
      <c r="L242">
        <v>16</v>
      </c>
      <c r="M242">
        <v>9</v>
      </c>
      <c r="N242">
        <v>17</v>
      </c>
      <c r="O242">
        <v>1098</v>
      </c>
      <c r="P242">
        <v>4392</v>
      </c>
      <c r="Q242" t="s">
        <v>939</v>
      </c>
    </row>
    <row r="243" spans="1:17" x14ac:dyDescent="0.3">
      <c r="A243">
        <v>802</v>
      </c>
      <c r="B243" t="s">
        <v>581</v>
      </c>
      <c r="C243">
        <v>45</v>
      </c>
      <c r="D243">
        <v>3</v>
      </c>
      <c r="E243" s="2">
        <v>45008</v>
      </c>
      <c r="F243" s="3">
        <v>0.52596064814814814</v>
      </c>
      <c r="G243" s="2">
        <v>45011</v>
      </c>
      <c r="H243" s="3">
        <v>0.26319444444444445</v>
      </c>
      <c r="I243" t="s">
        <v>230</v>
      </c>
      <c r="J243" t="s">
        <v>630</v>
      </c>
      <c r="K243" t="s">
        <v>715</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731</v>
      </c>
      <c r="J244" t="s">
        <v>626</v>
      </c>
      <c r="K244" t="s">
        <v>715</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747</v>
      </c>
      <c r="J245" t="s">
        <v>630</v>
      </c>
      <c r="K245" t="s">
        <v>715</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883</v>
      </c>
      <c r="J246" t="s">
        <v>626</v>
      </c>
      <c r="K246" t="s">
        <v>715</v>
      </c>
      <c r="L246">
        <v>23</v>
      </c>
      <c r="M246">
        <v>9</v>
      </c>
      <c r="N246">
        <v>12</v>
      </c>
      <c r="O246">
        <v>758</v>
      </c>
      <c r="P246">
        <v>3790</v>
      </c>
      <c r="Q246" t="s">
        <v>942</v>
      </c>
    </row>
    <row r="247" spans="1:17" x14ac:dyDescent="0.3">
      <c r="A247">
        <v>884</v>
      </c>
      <c r="B247" t="s">
        <v>546</v>
      </c>
      <c r="C247">
        <v>10</v>
      </c>
      <c r="D247">
        <v>3</v>
      </c>
      <c r="E247" s="2">
        <v>45003</v>
      </c>
      <c r="F247" s="3">
        <v>0.92759259259259264</v>
      </c>
      <c r="G247" s="2">
        <v>45012</v>
      </c>
      <c r="H247" s="3">
        <v>0.79160879629629632</v>
      </c>
      <c r="I247" t="s">
        <v>851</v>
      </c>
      <c r="J247" t="s">
        <v>630</v>
      </c>
      <c r="K247" t="s">
        <v>715</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876</v>
      </c>
      <c r="J248" t="s">
        <v>630</v>
      </c>
      <c r="K248" t="s">
        <v>715</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902</v>
      </c>
      <c r="J249" t="s">
        <v>611</v>
      </c>
      <c r="K249" t="s">
        <v>715</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630</v>
      </c>
      <c r="K250" t="s">
        <v>715</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800</v>
      </c>
      <c r="J251" t="s">
        <v>630</v>
      </c>
      <c r="K251" t="s">
        <v>715</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889</v>
      </c>
      <c r="J252" t="s">
        <v>626</v>
      </c>
      <c r="K252" t="s">
        <v>715</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820</v>
      </c>
      <c r="J253" t="s">
        <v>626</v>
      </c>
      <c r="K253" t="s">
        <v>715</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626</v>
      </c>
      <c r="K254" t="s">
        <v>715</v>
      </c>
      <c r="L254">
        <v>7</v>
      </c>
      <c r="M254">
        <v>7</v>
      </c>
      <c r="N254">
        <v>13</v>
      </c>
      <c r="O254">
        <v>1098</v>
      </c>
      <c r="P254">
        <v>1098</v>
      </c>
      <c r="Q254" t="s">
        <v>939</v>
      </c>
    </row>
    <row r="255" spans="1:17" x14ac:dyDescent="0.3">
      <c r="A255">
        <v>937</v>
      </c>
      <c r="B255" t="s">
        <v>581</v>
      </c>
      <c r="C255">
        <v>51</v>
      </c>
      <c r="D255">
        <v>2</v>
      </c>
      <c r="E255" s="2">
        <v>44996</v>
      </c>
      <c r="F255" s="3">
        <v>0.16508101851851853</v>
      </c>
      <c r="G255" s="2">
        <v>45000</v>
      </c>
      <c r="H255" s="3">
        <v>0.81056712962962962</v>
      </c>
      <c r="I255" t="s">
        <v>769</v>
      </c>
      <c r="J255" t="s">
        <v>611</v>
      </c>
      <c r="K255" t="s">
        <v>715</v>
      </c>
      <c r="L255">
        <v>3</v>
      </c>
      <c r="M255">
        <v>4</v>
      </c>
      <c r="N255">
        <v>19</v>
      </c>
      <c r="O255">
        <v>1084</v>
      </c>
      <c r="P255">
        <v>2168</v>
      </c>
      <c r="Q255" t="s">
        <v>936</v>
      </c>
    </row>
    <row r="256" spans="1:17" x14ac:dyDescent="0.3">
      <c r="A256">
        <v>983</v>
      </c>
      <c r="B256" t="s">
        <v>563</v>
      </c>
      <c r="C256">
        <v>70</v>
      </c>
      <c r="D256">
        <v>1</v>
      </c>
      <c r="E256" s="2">
        <v>45010</v>
      </c>
      <c r="F256" s="3">
        <v>0.40259259259259261</v>
      </c>
      <c r="G256" s="2">
        <v>45017</v>
      </c>
      <c r="H256" s="3">
        <v>0.27688657407407408</v>
      </c>
      <c r="I256" t="s">
        <v>905</v>
      </c>
      <c r="J256" t="s">
        <v>630</v>
      </c>
      <c r="K256" t="s">
        <v>715</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714</v>
      </c>
      <c r="J257" t="s">
        <v>623</v>
      </c>
      <c r="K257" t="s">
        <v>715</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623</v>
      </c>
      <c r="K258" t="s">
        <v>715</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719</v>
      </c>
      <c r="J259" t="s">
        <v>623</v>
      </c>
      <c r="K259" t="s">
        <v>715</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720</v>
      </c>
      <c r="J260" t="s">
        <v>623</v>
      </c>
      <c r="K260" t="s">
        <v>715</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732</v>
      </c>
      <c r="J261" t="s">
        <v>623</v>
      </c>
      <c r="K261" t="s">
        <v>715</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739</v>
      </c>
      <c r="J262" t="s">
        <v>623</v>
      </c>
      <c r="K262" t="s">
        <v>715</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548</v>
      </c>
      <c r="J263" t="s">
        <v>623</v>
      </c>
      <c r="K263" t="s">
        <v>715</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759</v>
      </c>
      <c r="J264" t="s">
        <v>623</v>
      </c>
      <c r="K264" t="s">
        <v>715</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623</v>
      </c>
      <c r="K265" t="s">
        <v>715</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737</v>
      </c>
      <c r="J266" t="s">
        <v>623</v>
      </c>
      <c r="K266" t="s">
        <v>715</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623</v>
      </c>
      <c r="K267" t="s">
        <v>715</v>
      </c>
      <c r="L267">
        <v>21</v>
      </c>
      <c r="M267">
        <v>10</v>
      </c>
      <c r="N267">
        <v>14</v>
      </c>
      <c r="O267">
        <v>289</v>
      </c>
      <c r="P267">
        <v>578</v>
      </c>
      <c r="Q267" t="s">
        <v>936</v>
      </c>
    </row>
    <row r="268" spans="1:17" x14ac:dyDescent="0.3">
      <c r="A268">
        <v>94</v>
      </c>
      <c r="B268" t="s">
        <v>593</v>
      </c>
      <c r="C268">
        <v>69</v>
      </c>
      <c r="D268">
        <v>5</v>
      </c>
      <c r="E268" s="2">
        <v>44987</v>
      </c>
      <c r="F268" s="3">
        <v>0.61884259259259256</v>
      </c>
      <c r="G268" s="2">
        <v>44996</v>
      </c>
      <c r="H268" s="3">
        <v>0.34362268518518518</v>
      </c>
      <c r="I268" t="s">
        <v>520</v>
      </c>
      <c r="J268" t="s">
        <v>623</v>
      </c>
      <c r="K268" t="s">
        <v>715</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777</v>
      </c>
      <c r="J269" t="s">
        <v>623</v>
      </c>
      <c r="K269" t="s">
        <v>715</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784</v>
      </c>
      <c r="J270" t="s">
        <v>623</v>
      </c>
      <c r="K270" t="s">
        <v>715</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764</v>
      </c>
      <c r="J271" t="s">
        <v>623</v>
      </c>
      <c r="K271" t="s">
        <v>715</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571</v>
      </c>
      <c r="J272" t="s">
        <v>623</v>
      </c>
      <c r="K272" t="s">
        <v>715</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623</v>
      </c>
      <c r="K273" t="s">
        <v>715</v>
      </c>
      <c r="L273">
        <v>6</v>
      </c>
      <c r="M273">
        <v>9</v>
      </c>
      <c r="N273">
        <v>21</v>
      </c>
      <c r="O273">
        <v>1638</v>
      </c>
      <c r="P273">
        <v>1638</v>
      </c>
      <c r="Q273" t="s">
        <v>936</v>
      </c>
    </row>
    <row r="274" spans="1:17" x14ac:dyDescent="0.3">
      <c r="A274">
        <v>153</v>
      </c>
      <c r="B274" t="s">
        <v>563</v>
      </c>
      <c r="C274">
        <v>16</v>
      </c>
      <c r="D274">
        <v>4</v>
      </c>
      <c r="E274" s="2">
        <v>44989</v>
      </c>
      <c r="F274" s="3">
        <v>0.51041666666666663</v>
      </c>
      <c r="G274" s="2">
        <v>44995</v>
      </c>
      <c r="H274" s="3">
        <v>0.25327546296296294</v>
      </c>
      <c r="I274" t="s">
        <v>802</v>
      </c>
      <c r="J274" t="s">
        <v>623</v>
      </c>
      <c r="K274" t="s">
        <v>715</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577</v>
      </c>
      <c r="J275" t="s">
        <v>623</v>
      </c>
      <c r="K275" t="s">
        <v>715</v>
      </c>
      <c r="L275">
        <v>15</v>
      </c>
      <c r="M275">
        <v>5</v>
      </c>
      <c r="N275">
        <v>2</v>
      </c>
      <c r="O275">
        <v>1865</v>
      </c>
      <c r="P275">
        <v>3730</v>
      </c>
      <c r="Q275" t="s">
        <v>938</v>
      </c>
    </row>
    <row r="276" spans="1:17" x14ac:dyDescent="0.3">
      <c r="A276">
        <v>168</v>
      </c>
      <c r="B276" t="s">
        <v>552</v>
      </c>
      <c r="C276">
        <v>35</v>
      </c>
      <c r="D276">
        <v>2</v>
      </c>
      <c r="E276" s="2">
        <v>44989</v>
      </c>
      <c r="F276" s="3">
        <v>0.65003472222222225</v>
      </c>
      <c r="G276" s="2">
        <v>44992</v>
      </c>
      <c r="H276" s="3">
        <v>0.46020833333333333</v>
      </c>
      <c r="I276" t="s">
        <v>800</v>
      </c>
      <c r="J276" t="s">
        <v>623</v>
      </c>
      <c r="K276" t="s">
        <v>715</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808</v>
      </c>
      <c r="J277" t="s">
        <v>623</v>
      </c>
      <c r="K277" t="s">
        <v>715</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623</v>
      </c>
      <c r="K278" t="s">
        <v>715</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751</v>
      </c>
      <c r="J279" t="s">
        <v>623</v>
      </c>
      <c r="K279" t="s">
        <v>715</v>
      </c>
      <c r="L279">
        <v>1</v>
      </c>
      <c r="M279">
        <v>2</v>
      </c>
      <c r="N279">
        <v>12</v>
      </c>
      <c r="O279">
        <v>1112</v>
      </c>
      <c r="P279">
        <v>2224</v>
      </c>
      <c r="Q279" t="s">
        <v>939</v>
      </c>
    </row>
    <row r="280" spans="1:17" x14ac:dyDescent="0.3">
      <c r="A280">
        <v>214</v>
      </c>
      <c r="B280" t="s">
        <v>593</v>
      </c>
      <c r="C280">
        <v>13</v>
      </c>
      <c r="D280">
        <v>3</v>
      </c>
      <c r="E280" s="2">
        <v>44986</v>
      </c>
      <c r="F280" s="3">
        <v>0.32633101851851853</v>
      </c>
      <c r="G280" s="2">
        <v>44992</v>
      </c>
      <c r="H280" s="3">
        <v>0.35237268518518516</v>
      </c>
      <c r="I280" t="s">
        <v>823</v>
      </c>
      <c r="J280" t="s">
        <v>623</v>
      </c>
      <c r="K280" t="s">
        <v>715</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818</v>
      </c>
      <c r="J281" t="s">
        <v>623</v>
      </c>
      <c r="K281" t="s">
        <v>715</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825</v>
      </c>
      <c r="J282" t="s">
        <v>623</v>
      </c>
      <c r="K282" t="s">
        <v>715</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834</v>
      </c>
      <c r="J283" t="s">
        <v>623</v>
      </c>
      <c r="K283" t="s">
        <v>715</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623</v>
      </c>
      <c r="K284" t="s">
        <v>715</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712</v>
      </c>
      <c r="J285" t="s">
        <v>623</v>
      </c>
      <c r="K285" t="s">
        <v>715</v>
      </c>
      <c r="L285">
        <v>15</v>
      </c>
      <c r="M285">
        <v>5</v>
      </c>
      <c r="N285">
        <v>0</v>
      </c>
      <c r="O285">
        <v>1356</v>
      </c>
      <c r="P285">
        <v>1356</v>
      </c>
      <c r="Q285" t="s">
        <v>939</v>
      </c>
    </row>
    <row r="286" spans="1:17" x14ac:dyDescent="0.3">
      <c r="A286">
        <v>260</v>
      </c>
      <c r="B286" t="s">
        <v>598</v>
      </c>
      <c r="C286">
        <v>69</v>
      </c>
      <c r="D286">
        <v>5</v>
      </c>
      <c r="E286" s="2">
        <v>44991</v>
      </c>
      <c r="F286" s="3">
        <v>0.54596064814814815</v>
      </c>
      <c r="G286" s="2">
        <v>45001</v>
      </c>
      <c r="H286" s="3">
        <v>0.93229166666666663</v>
      </c>
      <c r="I286" t="s">
        <v>368</v>
      </c>
      <c r="J286" t="s">
        <v>623</v>
      </c>
      <c r="K286" t="s">
        <v>715</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842</v>
      </c>
      <c r="J287" t="s">
        <v>623</v>
      </c>
      <c r="K287" t="s">
        <v>715</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845</v>
      </c>
      <c r="J288" t="s">
        <v>623</v>
      </c>
      <c r="K288" t="s">
        <v>715</v>
      </c>
      <c r="L288">
        <v>4</v>
      </c>
      <c r="M288">
        <v>3</v>
      </c>
      <c r="N288">
        <v>1</v>
      </c>
      <c r="O288">
        <v>1252</v>
      </c>
      <c r="P288">
        <v>1252</v>
      </c>
      <c r="Q288" t="s">
        <v>942</v>
      </c>
    </row>
    <row r="289" spans="1:17" x14ac:dyDescent="0.3">
      <c r="A289">
        <v>286</v>
      </c>
      <c r="B289" t="s">
        <v>587</v>
      </c>
      <c r="C289">
        <v>50</v>
      </c>
      <c r="D289">
        <v>3</v>
      </c>
      <c r="E289" s="2">
        <v>44991</v>
      </c>
      <c r="F289" s="3">
        <v>0.83726851851851847</v>
      </c>
      <c r="G289" s="2">
        <v>44997</v>
      </c>
      <c r="H289" s="3">
        <v>0.11211805555555555</v>
      </c>
      <c r="I289" t="s">
        <v>849</v>
      </c>
      <c r="J289" t="s">
        <v>623</v>
      </c>
      <c r="K289" t="s">
        <v>715</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850</v>
      </c>
      <c r="J290" t="s">
        <v>623</v>
      </c>
      <c r="K290" t="s">
        <v>715</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837</v>
      </c>
      <c r="J291" t="s">
        <v>623</v>
      </c>
      <c r="K291" t="s">
        <v>715</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623</v>
      </c>
      <c r="K292" t="s">
        <v>715</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805</v>
      </c>
      <c r="J293" t="s">
        <v>623</v>
      </c>
      <c r="K293" t="s">
        <v>715</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857</v>
      </c>
      <c r="J294" t="s">
        <v>623</v>
      </c>
      <c r="K294" t="s">
        <v>715</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623</v>
      </c>
      <c r="K295" t="s">
        <v>715</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858</v>
      </c>
      <c r="J296" t="s">
        <v>623</v>
      </c>
      <c r="K296" t="s">
        <v>715</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830</v>
      </c>
      <c r="J297" t="s">
        <v>623</v>
      </c>
      <c r="K297" t="s">
        <v>715</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623</v>
      </c>
      <c r="K298" t="s">
        <v>715</v>
      </c>
      <c r="L298">
        <v>14</v>
      </c>
      <c r="M298">
        <v>3</v>
      </c>
      <c r="N298">
        <v>9</v>
      </c>
      <c r="O298">
        <v>610</v>
      </c>
      <c r="P298">
        <v>1830</v>
      </c>
      <c r="Q298" t="s">
        <v>940</v>
      </c>
    </row>
    <row r="299" spans="1:17" x14ac:dyDescent="0.3">
      <c r="A299">
        <v>346</v>
      </c>
      <c r="B299" t="s">
        <v>540</v>
      </c>
      <c r="C299">
        <v>50</v>
      </c>
      <c r="D299">
        <v>1</v>
      </c>
      <c r="E299" s="2">
        <v>44989</v>
      </c>
      <c r="F299" s="3">
        <v>0.9751967592592593</v>
      </c>
      <c r="G299" s="2">
        <v>44997</v>
      </c>
      <c r="H299" s="3">
        <v>0.69900462962962961</v>
      </c>
      <c r="I299" t="s">
        <v>814</v>
      </c>
      <c r="J299" t="s">
        <v>623</v>
      </c>
      <c r="K299" t="s">
        <v>715</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623</v>
      </c>
      <c r="K300" t="s">
        <v>715</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709</v>
      </c>
      <c r="J301" t="s">
        <v>623</v>
      </c>
      <c r="K301" t="s">
        <v>715</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863</v>
      </c>
      <c r="J302" t="s">
        <v>623</v>
      </c>
      <c r="K302" t="s">
        <v>715</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862</v>
      </c>
      <c r="J303" t="s">
        <v>623</v>
      </c>
      <c r="K303" t="s">
        <v>715</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869</v>
      </c>
      <c r="J304" t="s">
        <v>623</v>
      </c>
      <c r="K304" t="s">
        <v>715</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708</v>
      </c>
      <c r="J305" t="s">
        <v>623</v>
      </c>
      <c r="K305" t="s">
        <v>715</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837</v>
      </c>
      <c r="J306" t="s">
        <v>623</v>
      </c>
      <c r="K306" t="s">
        <v>715</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768</v>
      </c>
      <c r="J307" t="s">
        <v>623</v>
      </c>
      <c r="K307" t="s">
        <v>715</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855</v>
      </c>
      <c r="J308" t="s">
        <v>623</v>
      </c>
      <c r="K308" t="s">
        <v>715</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858</v>
      </c>
      <c r="J309" t="s">
        <v>623</v>
      </c>
      <c r="K309" t="s">
        <v>715</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731</v>
      </c>
      <c r="J310" t="s">
        <v>623</v>
      </c>
      <c r="K310" t="s">
        <v>715</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735</v>
      </c>
      <c r="J311" t="s">
        <v>623</v>
      </c>
      <c r="K311" t="s">
        <v>715</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730</v>
      </c>
      <c r="J312" t="s">
        <v>623</v>
      </c>
      <c r="K312" t="s">
        <v>715</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777</v>
      </c>
      <c r="J313" t="s">
        <v>623</v>
      </c>
      <c r="K313" t="s">
        <v>715</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836</v>
      </c>
      <c r="J314" t="s">
        <v>623</v>
      </c>
      <c r="K314" t="s">
        <v>715</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623</v>
      </c>
      <c r="K315" t="s">
        <v>715</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882</v>
      </c>
      <c r="J316" t="s">
        <v>623</v>
      </c>
      <c r="K316" t="s">
        <v>715</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889</v>
      </c>
      <c r="J317" t="s">
        <v>623</v>
      </c>
      <c r="K317" t="s">
        <v>715</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764</v>
      </c>
      <c r="J318" t="s">
        <v>623</v>
      </c>
      <c r="K318" t="s">
        <v>715</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879</v>
      </c>
      <c r="J319" t="s">
        <v>623</v>
      </c>
      <c r="K319" t="s">
        <v>715</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897</v>
      </c>
      <c r="J320" t="s">
        <v>623</v>
      </c>
      <c r="K320" t="s">
        <v>715</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839</v>
      </c>
      <c r="J321" t="s">
        <v>623</v>
      </c>
      <c r="K321" t="s">
        <v>715</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732</v>
      </c>
      <c r="J322" t="s">
        <v>623</v>
      </c>
      <c r="K322" t="s">
        <v>715</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623</v>
      </c>
      <c r="K323" t="s">
        <v>715</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623</v>
      </c>
      <c r="K324" t="s">
        <v>715</v>
      </c>
      <c r="L324">
        <v>17</v>
      </c>
      <c r="M324">
        <v>8</v>
      </c>
      <c r="N324">
        <v>13</v>
      </c>
      <c r="O324">
        <v>422</v>
      </c>
      <c r="P324">
        <v>1266</v>
      </c>
      <c r="Q324" t="s">
        <v>940</v>
      </c>
    </row>
    <row r="325" spans="1:17" x14ac:dyDescent="0.3">
      <c r="A325">
        <v>567</v>
      </c>
      <c r="B325" t="s">
        <v>540</v>
      </c>
      <c r="C325">
        <v>66</v>
      </c>
      <c r="D325">
        <v>1</v>
      </c>
      <c r="E325" s="2">
        <v>44991</v>
      </c>
      <c r="F325" s="3">
        <v>0.25832175925925926</v>
      </c>
      <c r="G325" s="2">
        <v>45000</v>
      </c>
      <c r="H325" s="3">
        <v>0.78962962962962968</v>
      </c>
      <c r="I325" t="s">
        <v>896</v>
      </c>
      <c r="J325" t="s">
        <v>623</v>
      </c>
      <c r="K325" t="s">
        <v>715</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725</v>
      </c>
      <c r="J326" t="s">
        <v>623</v>
      </c>
      <c r="K326" t="s">
        <v>715</v>
      </c>
      <c r="L326">
        <v>23</v>
      </c>
      <c r="M326">
        <v>4</v>
      </c>
      <c r="N326">
        <v>21</v>
      </c>
      <c r="O326">
        <v>1252</v>
      </c>
      <c r="P326">
        <v>3756</v>
      </c>
      <c r="Q326" t="s">
        <v>942</v>
      </c>
    </row>
    <row r="327" spans="1:17" x14ac:dyDescent="0.3">
      <c r="A327">
        <v>579</v>
      </c>
      <c r="B327" t="s">
        <v>552</v>
      </c>
      <c r="C327">
        <v>29</v>
      </c>
      <c r="D327">
        <v>2</v>
      </c>
      <c r="E327" s="2">
        <v>44992</v>
      </c>
      <c r="F327" s="3">
        <v>0.9018518518518519</v>
      </c>
      <c r="G327" s="2">
        <v>44999</v>
      </c>
      <c r="H327" s="3">
        <v>0.44798611111111108</v>
      </c>
      <c r="I327" t="s">
        <v>283</v>
      </c>
      <c r="J327" t="s">
        <v>623</v>
      </c>
      <c r="K327" t="s">
        <v>715</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906</v>
      </c>
      <c r="J328" t="s">
        <v>623</v>
      </c>
      <c r="K328" t="s">
        <v>715</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623</v>
      </c>
      <c r="K329" t="s">
        <v>715</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891</v>
      </c>
      <c r="J330" t="s">
        <v>623</v>
      </c>
      <c r="K330" t="s">
        <v>715</v>
      </c>
      <c r="L330">
        <v>1</v>
      </c>
      <c r="M330">
        <v>5</v>
      </c>
      <c r="N330">
        <v>2</v>
      </c>
      <c r="O330">
        <v>1721</v>
      </c>
      <c r="P330">
        <v>1721</v>
      </c>
      <c r="Q330" t="s">
        <v>937</v>
      </c>
    </row>
    <row r="331" spans="1:17" x14ac:dyDescent="0.3">
      <c r="A331">
        <v>600</v>
      </c>
      <c r="B331" t="s">
        <v>569</v>
      </c>
      <c r="C331">
        <v>47</v>
      </c>
      <c r="D331">
        <v>4</v>
      </c>
      <c r="E331" s="2">
        <v>44992</v>
      </c>
      <c r="F331" s="3">
        <v>0.89211805555555557</v>
      </c>
      <c r="G331" s="2">
        <v>44994</v>
      </c>
      <c r="H331" s="3">
        <v>0.63702546296296292</v>
      </c>
      <c r="I331" t="s">
        <v>907</v>
      </c>
      <c r="J331" t="s">
        <v>623</v>
      </c>
      <c r="K331" t="s">
        <v>715</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623</v>
      </c>
      <c r="K332" t="s">
        <v>715</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760</v>
      </c>
      <c r="J333" t="s">
        <v>623</v>
      </c>
      <c r="K333" t="s">
        <v>715</v>
      </c>
      <c r="L333">
        <v>10</v>
      </c>
      <c r="M333">
        <v>6</v>
      </c>
      <c r="N333">
        <v>12</v>
      </c>
      <c r="O333">
        <v>289</v>
      </c>
      <c r="P333">
        <v>289</v>
      </c>
      <c r="Q333" t="s">
        <v>942</v>
      </c>
    </row>
    <row r="334" spans="1:17" x14ac:dyDescent="0.3">
      <c r="A334">
        <v>614</v>
      </c>
      <c r="B334" t="s">
        <v>534</v>
      </c>
      <c r="C334">
        <v>26</v>
      </c>
      <c r="D334">
        <v>1</v>
      </c>
      <c r="E334" s="2">
        <v>44988</v>
      </c>
      <c r="F334" s="3">
        <v>0.65015046296296297</v>
      </c>
      <c r="G334" s="2">
        <v>44992</v>
      </c>
      <c r="H334" s="3">
        <v>0.78589120370370369</v>
      </c>
      <c r="I334" t="s">
        <v>242</v>
      </c>
      <c r="J334" t="s">
        <v>623</v>
      </c>
      <c r="K334" t="s">
        <v>715</v>
      </c>
      <c r="L334">
        <v>15</v>
      </c>
      <c r="M334">
        <v>4</v>
      </c>
      <c r="N334">
        <v>18</v>
      </c>
      <c r="O334">
        <v>289</v>
      </c>
      <c r="P334">
        <v>289</v>
      </c>
      <c r="Q334" t="s">
        <v>938</v>
      </c>
    </row>
    <row r="335" spans="1:17" x14ac:dyDescent="0.3">
      <c r="A335">
        <v>619</v>
      </c>
      <c r="B335" t="s">
        <v>546</v>
      </c>
      <c r="C335">
        <v>35</v>
      </c>
      <c r="D335">
        <v>1</v>
      </c>
      <c r="E335" s="2">
        <v>44991</v>
      </c>
      <c r="F335" s="3">
        <v>0.30469907407407409</v>
      </c>
      <c r="G335" s="2">
        <v>45001</v>
      </c>
      <c r="H335" s="3">
        <v>0.13718749999999999</v>
      </c>
      <c r="I335" t="s">
        <v>808</v>
      </c>
      <c r="J335" t="s">
        <v>623</v>
      </c>
      <c r="K335" t="s">
        <v>715</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779</v>
      </c>
      <c r="J336" t="s">
        <v>623</v>
      </c>
      <c r="K336" t="s">
        <v>715</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855</v>
      </c>
      <c r="J337" t="s">
        <v>623</v>
      </c>
      <c r="K337" t="s">
        <v>715</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834</v>
      </c>
      <c r="J338" t="s">
        <v>623</v>
      </c>
      <c r="K338" t="s">
        <v>715</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701</v>
      </c>
      <c r="J339" t="s">
        <v>623</v>
      </c>
      <c r="K339" t="s">
        <v>715</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912</v>
      </c>
      <c r="J340" t="s">
        <v>623</v>
      </c>
      <c r="K340" t="s">
        <v>715</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917</v>
      </c>
      <c r="J341" t="s">
        <v>623</v>
      </c>
      <c r="K341" t="s">
        <v>715</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775</v>
      </c>
      <c r="J342" t="s">
        <v>623</v>
      </c>
      <c r="K342" t="s">
        <v>715</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763</v>
      </c>
      <c r="J343" t="s">
        <v>623</v>
      </c>
      <c r="K343" t="s">
        <v>715</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891</v>
      </c>
      <c r="J344" t="s">
        <v>623</v>
      </c>
      <c r="K344" t="s">
        <v>715</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774</v>
      </c>
      <c r="J345" t="s">
        <v>623</v>
      </c>
      <c r="K345" t="s">
        <v>715</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922</v>
      </c>
      <c r="J346" t="s">
        <v>623</v>
      </c>
      <c r="K346" t="s">
        <v>715</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777</v>
      </c>
      <c r="J347" t="s">
        <v>623</v>
      </c>
      <c r="K347" t="s">
        <v>715</v>
      </c>
      <c r="L347">
        <v>23</v>
      </c>
      <c r="M347">
        <v>5</v>
      </c>
      <c r="N347">
        <v>20</v>
      </c>
      <c r="O347">
        <v>1865</v>
      </c>
      <c r="P347">
        <v>5595</v>
      </c>
      <c r="Q347" t="s">
        <v>940</v>
      </c>
    </row>
    <row r="348" spans="1:17" x14ac:dyDescent="0.3">
      <c r="A348">
        <v>738</v>
      </c>
      <c r="B348" t="s">
        <v>587</v>
      </c>
      <c r="C348">
        <v>16</v>
      </c>
      <c r="D348">
        <v>5</v>
      </c>
      <c r="E348" s="2">
        <v>44988</v>
      </c>
      <c r="F348" s="3">
        <v>0.68307870370370372</v>
      </c>
      <c r="G348" s="2">
        <v>44994</v>
      </c>
      <c r="H348" s="3">
        <v>6.7037037037037034E-2</v>
      </c>
      <c r="I348" t="s">
        <v>283</v>
      </c>
      <c r="J348" t="s">
        <v>623</v>
      </c>
      <c r="K348" t="s">
        <v>715</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623</v>
      </c>
      <c r="K349" t="s">
        <v>715</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623</v>
      </c>
      <c r="K350" t="s">
        <v>715</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623</v>
      </c>
      <c r="K351" t="s">
        <v>715</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536</v>
      </c>
      <c r="J352" t="s">
        <v>623</v>
      </c>
      <c r="K352" t="s">
        <v>715</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769</v>
      </c>
      <c r="J353" t="s">
        <v>623</v>
      </c>
      <c r="K353" t="s">
        <v>715</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623</v>
      </c>
      <c r="K354" t="s">
        <v>715</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780</v>
      </c>
      <c r="J355" t="s">
        <v>623</v>
      </c>
      <c r="K355" t="s">
        <v>715</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865</v>
      </c>
      <c r="J356" t="s">
        <v>623</v>
      </c>
      <c r="K356" t="s">
        <v>715</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804</v>
      </c>
      <c r="J357" t="s">
        <v>623</v>
      </c>
      <c r="K357" t="s">
        <v>715</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807</v>
      </c>
      <c r="J358" t="s">
        <v>623</v>
      </c>
      <c r="K358" t="s">
        <v>715</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924</v>
      </c>
      <c r="J359" t="s">
        <v>623</v>
      </c>
      <c r="K359" t="s">
        <v>715</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755</v>
      </c>
      <c r="J360" t="s">
        <v>623</v>
      </c>
      <c r="K360" t="s">
        <v>715</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733</v>
      </c>
      <c r="J361" t="s">
        <v>623</v>
      </c>
      <c r="K361" t="s">
        <v>715</v>
      </c>
      <c r="L361">
        <v>19</v>
      </c>
      <c r="M361">
        <v>10</v>
      </c>
      <c r="N361">
        <v>1</v>
      </c>
      <c r="O361">
        <v>1865</v>
      </c>
      <c r="P361">
        <v>1865</v>
      </c>
      <c r="Q361" t="s">
        <v>941</v>
      </c>
    </row>
    <row r="362" spans="1:17" x14ac:dyDescent="0.3">
      <c r="A362">
        <v>814</v>
      </c>
      <c r="B362" t="s">
        <v>563</v>
      </c>
      <c r="C362">
        <v>47</v>
      </c>
      <c r="D362">
        <v>5</v>
      </c>
      <c r="E362" s="2">
        <v>44990</v>
      </c>
      <c r="F362" s="3">
        <v>8.2870370370370372E-2</v>
      </c>
      <c r="G362" s="2">
        <v>44999</v>
      </c>
      <c r="H362" s="3">
        <v>0.19532407407407407</v>
      </c>
      <c r="I362" t="s">
        <v>796</v>
      </c>
      <c r="J362" t="s">
        <v>623</v>
      </c>
      <c r="K362" t="s">
        <v>715</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861</v>
      </c>
      <c r="J363" t="s">
        <v>623</v>
      </c>
      <c r="K363" t="s">
        <v>715</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767</v>
      </c>
      <c r="J364" t="s">
        <v>623</v>
      </c>
      <c r="K364" t="s">
        <v>715</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827</v>
      </c>
      <c r="J365" t="s">
        <v>623</v>
      </c>
      <c r="K365" t="s">
        <v>715</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907</v>
      </c>
      <c r="J366" t="s">
        <v>623</v>
      </c>
      <c r="K366" t="s">
        <v>715</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623</v>
      </c>
      <c r="K367" t="s">
        <v>715</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865</v>
      </c>
      <c r="J368" t="s">
        <v>623</v>
      </c>
      <c r="K368" t="s">
        <v>715</v>
      </c>
      <c r="L368">
        <v>5</v>
      </c>
      <c r="M368">
        <v>8</v>
      </c>
      <c r="N368">
        <v>8</v>
      </c>
      <c r="O368">
        <v>1112</v>
      </c>
      <c r="P368">
        <v>4448</v>
      </c>
      <c r="Q368" t="s">
        <v>941</v>
      </c>
    </row>
    <row r="369" spans="1:17" x14ac:dyDescent="0.3">
      <c r="A369">
        <v>872</v>
      </c>
      <c r="B369" t="s">
        <v>563</v>
      </c>
      <c r="C369">
        <v>13</v>
      </c>
      <c r="D369">
        <v>2</v>
      </c>
      <c r="E369" s="2">
        <v>44990</v>
      </c>
      <c r="F369" s="3">
        <v>0.85274305555555552</v>
      </c>
      <c r="G369" s="2">
        <v>44995</v>
      </c>
      <c r="H369" s="3">
        <v>6.4155092592592597E-2</v>
      </c>
      <c r="I369" t="s">
        <v>790</v>
      </c>
      <c r="J369" t="s">
        <v>623</v>
      </c>
      <c r="K369" t="s">
        <v>715</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623</v>
      </c>
      <c r="K370" t="s">
        <v>715</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904</v>
      </c>
      <c r="J371" t="s">
        <v>623</v>
      </c>
      <c r="K371" t="s">
        <v>715</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879</v>
      </c>
      <c r="J372" t="s">
        <v>623</v>
      </c>
      <c r="K372" t="s">
        <v>715</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822</v>
      </c>
      <c r="J373" t="s">
        <v>623</v>
      </c>
      <c r="K373" t="s">
        <v>715</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929</v>
      </c>
      <c r="J374" t="s">
        <v>623</v>
      </c>
      <c r="K374" t="s">
        <v>715</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600</v>
      </c>
      <c r="J375" t="s">
        <v>623</v>
      </c>
      <c r="K375" t="s">
        <v>715</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911</v>
      </c>
      <c r="J376" t="s">
        <v>623</v>
      </c>
      <c r="K376" t="s">
        <v>715</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536</v>
      </c>
      <c r="J377" t="s">
        <v>623</v>
      </c>
      <c r="K377" t="s">
        <v>715</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623</v>
      </c>
      <c r="K378" t="s">
        <v>715</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623</v>
      </c>
      <c r="K379" t="s">
        <v>715</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917</v>
      </c>
      <c r="J380" t="s">
        <v>623</v>
      </c>
      <c r="K380" t="s">
        <v>715</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712</v>
      </c>
      <c r="J381" t="s">
        <v>628</v>
      </c>
      <c r="K381" t="s">
        <v>713</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709</v>
      </c>
      <c r="J382" t="s">
        <v>628</v>
      </c>
      <c r="K382" t="s">
        <v>713</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628</v>
      </c>
      <c r="K383" t="s">
        <v>713</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724</v>
      </c>
      <c r="J384" t="s">
        <v>628</v>
      </c>
      <c r="K384" t="s">
        <v>713</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725</v>
      </c>
      <c r="J385" t="s">
        <v>628</v>
      </c>
      <c r="K385" t="s">
        <v>713</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726</v>
      </c>
      <c r="J386" t="s">
        <v>628</v>
      </c>
      <c r="K386" t="s">
        <v>713</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736</v>
      </c>
      <c r="J387" t="s">
        <v>628</v>
      </c>
      <c r="K387" t="s">
        <v>713</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749</v>
      </c>
      <c r="J388" t="s">
        <v>628</v>
      </c>
      <c r="K388" t="s">
        <v>713</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720</v>
      </c>
      <c r="J389" t="s">
        <v>628</v>
      </c>
      <c r="K389" t="s">
        <v>713</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783</v>
      </c>
      <c r="J390" t="s">
        <v>628</v>
      </c>
      <c r="K390" t="s">
        <v>713</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796</v>
      </c>
      <c r="J391" t="s">
        <v>628</v>
      </c>
      <c r="K391" t="s">
        <v>713</v>
      </c>
      <c r="L391">
        <v>16</v>
      </c>
      <c r="M391">
        <v>5</v>
      </c>
      <c r="N391">
        <v>13</v>
      </c>
      <c r="O391">
        <v>811</v>
      </c>
      <c r="P391">
        <v>4055</v>
      </c>
      <c r="Q391" t="s">
        <v>941</v>
      </c>
    </row>
    <row r="392" spans="1:17" x14ac:dyDescent="0.3">
      <c r="A392">
        <v>150</v>
      </c>
      <c r="B392" t="s">
        <v>552</v>
      </c>
      <c r="C392">
        <v>27</v>
      </c>
      <c r="D392">
        <v>5</v>
      </c>
      <c r="E392" s="2">
        <v>45164</v>
      </c>
      <c r="F392" s="3">
        <v>0.30436342592592591</v>
      </c>
      <c r="G392" s="2">
        <v>45167</v>
      </c>
      <c r="H392" s="3">
        <v>0.70570601851851855</v>
      </c>
      <c r="I392" t="s">
        <v>800</v>
      </c>
      <c r="J392" t="s">
        <v>628</v>
      </c>
      <c r="K392" t="s">
        <v>713</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803</v>
      </c>
      <c r="J393" t="s">
        <v>628</v>
      </c>
      <c r="K393" t="s">
        <v>713</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536</v>
      </c>
      <c r="J394" t="s">
        <v>628</v>
      </c>
      <c r="K394" t="s">
        <v>713</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739</v>
      </c>
      <c r="J395" t="s">
        <v>628</v>
      </c>
      <c r="K395" t="s">
        <v>713</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817</v>
      </c>
      <c r="J396" t="s">
        <v>628</v>
      </c>
      <c r="K396" t="s">
        <v>713</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739</v>
      </c>
      <c r="J397" t="s">
        <v>628</v>
      </c>
      <c r="K397" t="s">
        <v>713</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709</v>
      </c>
      <c r="J398" t="s">
        <v>628</v>
      </c>
      <c r="K398" t="s">
        <v>713</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826</v>
      </c>
      <c r="J399" t="s">
        <v>628</v>
      </c>
      <c r="K399" t="s">
        <v>713</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828</v>
      </c>
      <c r="J400" t="s">
        <v>628</v>
      </c>
      <c r="K400" t="s">
        <v>713</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628</v>
      </c>
      <c r="K401" t="s">
        <v>713</v>
      </c>
      <c r="L401">
        <v>8</v>
      </c>
      <c r="M401">
        <v>5</v>
      </c>
      <c r="N401">
        <v>1</v>
      </c>
      <c r="O401">
        <v>1878</v>
      </c>
      <c r="P401">
        <v>5634</v>
      </c>
      <c r="Q401" t="s">
        <v>939</v>
      </c>
    </row>
    <row r="402" spans="1:17" x14ac:dyDescent="0.3">
      <c r="A402">
        <v>231</v>
      </c>
      <c r="B402" t="s">
        <v>557</v>
      </c>
      <c r="C402">
        <v>64</v>
      </c>
      <c r="D402">
        <v>3</v>
      </c>
      <c r="E402" s="2">
        <v>45162</v>
      </c>
      <c r="F402" s="3">
        <v>0.385625</v>
      </c>
      <c r="G402" s="2">
        <v>45166</v>
      </c>
      <c r="H402" s="3">
        <v>0.8840393518518519</v>
      </c>
      <c r="I402" t="s">
        <v>832</v>
      </c>
      <c r="J402" t="s">
        <v>628</v>
      </c>
      <c r="K402" t="s">
        <v>713</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833</v>
      </c>
      <c r="J403" t="s">
        <v>628</v>
      </c>
      <c r="K403" t="s">
        <v>713</v>
      </c>
      <c r="L403">
        <v>12</v>
      </c>
      <c r="M403">
        <v>1</v>
      </c>
      <c r="N403">
        <v>9</v>
      </c>
      <c r="O403">
        <v>1778</v>
      </c>
      <c r="P403">
        <v>5334</v>
      </c>
      <c r="Q403" t="s">
        <v>941</v>
      </c>
    </row>
    <row r="404" spans="1:17" x14ac:dyDescent="0.3">
      <c r="A404">
        <v>233</v>
      </c>
      <c r="B404" t="s">
        <v>587</v>
      </c>
      <c r="C404">
        <v>64</v>
      </c>
      <c r="D404">
        <v>4</v>
      </c>
      <c r="E404" s="2">
        <v>45164</v>
      </c>
      <c r="F404" s="3">
        <v>0.92730324074074078</v>
      </c>
      <c r="G404" s="2">
        <v>45168</v>
      </c>
      <c r="H404" s="3">
        <v>0.17197916666666666</v>
      </c>
      <c r="I404" t="s">
        <v>122</v>
      </c>
      <c r="J404" t="s">
        <v>628</v>
      </c>
      <c r="K404" t="s">
        <v>713</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628</v>
      </c>
      <c r="K405" t="s">
        <v>713</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824</v>
      </c>
      <c r="J406" t="s">
        <v>628</v>
      </c>
      <c r="K406" t="s">
        <v>713</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714</v>
      </c>
      <c r="J407" t="s">
        <v>628</v>
      </c>
      <c r="K407" t="s">
        <v>713</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628</v>
      </c>
      <c r="K408" t="s">
        <v>713</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765</v>
      </c>
      <c r="J409" t="s">
        <v>628</v>
      </c>
      <c r="K409" t="s">
        <v>713</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628</v>
      </c>
      <c r="K410" t="s">
        <v>713</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847</v>
      </c>
      <c r="J411" t="s">
        <v>628</v>
      </c>
      <c r="K411" t="s">
        <v>713</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855</v>
      </c>
      <c r="J412" t="s">
        <v>628</v>
      </c>
      <c r="K412" t="s">
        <v>713</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859</v>
      </c>
      <c r="J413" t="s">
        <v>628</v>
      </c>
      <c r="K413" t="s">
        <v>713</v>
      </c>
      <c r="L413">
        <v>6</v>
      </c>
      <c r="M413">
        <v>6</v>
      </c>
      <c r="N413">
        <v>22</v>
      </c>
      <c r="O413">
        <v>1878</v>
      </c>
      <c r="P413">
        <v>1878</v>
      </c>
      <c r="Q413" t="s">
        <v>939</v>
      </c>
    </row>
    <row r="414" spans="1:17" x14ac:dyDescent="0.3">
      <c r="A414">
        <v>325</v>
      </c>
      <c r="B414" t="s">
        <v>546</v>
      </c>
      <c r="C414">
        <v>27</v>
      </c>
      <c r="D414">
        <v>5</v>
      </c>
      <c r="E414" s="2">
        <v>45163</v>
      </c>
      <c r="F414" s="3">
        <v>0.77135416666666667</v>
      </c>
      <c r="G414" s="2">
        <v>45173</v>
      </c>
      <c r="H414" s="3">
        <v>0.83515046296296291</v>
      </c>
      <c r="I414" t="s">
        <v>792</v>
      </c>
      <c r="J414" t="s">
        <v>628</v>
      </c>
      <c r="K414" t="s">
        <v>713</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628</v>
      </c>
      <c r="K415" t="s">
        <v>713</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767</v>
      </c>
      <c r="J416" t="s">
        <v>628</v>
      </c>
      <c r="K416" t="s">
        <v>713</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808</v>
      </c>
      <c r="J417" t="s">
        <v>628</v>
      </c>
      <c r="K417" t="s">
        <v>713</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628</v>
      </c>
      <c r="K418" t="s">
        <v>713</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628</v>
      </c>
      <c r="K419" t="s">
        <v>713</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864</v>
      </c>
      <c r="J420" t="s">
        <v>628</v>
      </c>
      <c r="K420" t="s">
        <v>713</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807</v>
      </c>
      <c r="J421" t="s">
        <v>628</v>
      </c>
      <c r="K421" t="s">
        <v>713</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865</v>
      </c>
      <c r="J422" t="s">
        <v>628</v>
      </c>
      <c r="K422" t="s">
        <v>713</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854</v>
      </c>
      <c r="J423" t="s">
        <v>628</v>
      </c>
      <c r="K423" t="s">
        <v>713</v>
      </c>
      <c r="L423">
        <v>23</v>
      </c>
      <c r="M423">
        <v>10</v>
      </c>
      <c r="N423">
        <v>9</v>
      </c>
      <c r="O423">
        <v>1778</v>
      </c>
      <c r="P423">
        <v>1778</v>
      </c>
      <c r="Q423" t="s">
        <v>937</v>
      </c>
    </row>
    <row r="424" spans="1:17" x14ac:dyDescent="0.3">
      <c r="A424">
        <v>353</v>
      </c>
      <c r="B424" t="s">
        <v>534</v>
      </c>
      <c r="C424">
        <v>55</v>
      </c>
      <c r="D424">
        <v>2</v>
      </c>
      <c r="E424" s="2">
        <v>45159</v>
      </c>
      <c r="F424" s="3">
        <v>0.40517361111111111</v>
      </c>
      <c r="G424" s="2">
        <v>45162</v>
      </c>
      <c r="H424" s="3">
        <v>0.59182870370370366</v>
      </c>
      <c r="I424" t="s">
        <v>838</v>
      </c>
      <c r="J424" t="s">
        <v>628</v>
      </c>
      <c r="K424" t="s">
        <v>713</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866</v>
      </c>
      <c r="J425" t="s">
        <v>628</v>
      </c>
      <c r="K425" t="s">
        <v>713</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868</v>
      </c>
      <c r="J426" t="s">
        <v>628</v>
      </c>
      <c r="K426" t="s">
        <v>713</v>
      </c>
      <c r="L426">
        <v>8</v>
      </c>
      <c r="M426">
        <v>5</v>
      </c>
      <c r="N426">
        <v>11</v>
      </c>
      <c r="O426">
        <v>1904</v>
      </c>
      <c r="P426">
        <v>7616</v>
      </c>
      <c r="Q426" t="s">
        <v>936</v>
      </c>
    </row>
    <row r="427" spans="1:17" x14ac:dyDescent="0.3">
      <c r="A427">
        <v>401</v>
      </c>
      <c r="B427" t="s">
        <v>534</v>
      </c>
      <c r="C427">
        <v>9</v>
      </c>
      <c r="D427">
        <v>5</v>
      </c>
      <c r="E427" s="2">
        <v>45167</v>
      </c>
      <c r="F427" s="3">
        <v>0.82885416666666667</v>
      </c>
      <c r="G427" s="2">
        <v>45173</v>
      </c>
      <c r="H427" s="3">
        <v>0.30494212962962963</v>
      </c>
      <c r="I427" t="s">
        <v>330</v>
      </c>
      <c r="J427" t="s">
        <v>628</v>
      </c>
      <c r="K427" t="s">
        <v>713</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863</v>
      </c>
      <c r="J428" t="s">
        <v>628</v>
      </c>
      <c r="K428" t="s">
        <v>713</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628</v>
      </c>
      <c r="K429" t="s">
        <v>713</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792</v>
      </c>
      <c r="J430" t="s">
        <v>628</v>
      </c>
      <c r="K430" t="s">
        <v>713</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628</v>
      </c>
      <c r="K431" t="s">
        <v>713</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874</v>
      </c>
      <c r="J432" t="s">
        <v>628</v>
      </c>
      <c r="K432" t="s">
        <v>713</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811</v>
      </c>
      <c r="J433" t="s">
        <v>628</v>
      </c>
      <c r="K433" t="s">
        <v>713</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877</v>
      </c>
      <c r="J434" t="s">
        <v>628</v>
      </c>
      <c r="K434" t="s">
        <v>713</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878</v>
      </c>
      <c r="J435" t="s">
        <v>628</v>
      </c>
      <c r="K435" t="s">
        <v>713</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879</v>
      </c>
      <c r="J436" t="s">
        <v>628</v>
      </c>
      <c r="K436" t="s">
        <v>713</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852</v>
      </c>
      <c r="J437" t="s">
        <v>628</v>
      </c>
      <c r="K437" t="s">
        <v>713</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761</v>
      </c>
      <c r="J438" t="s">
        <v>628</v>
      </c>
      <c r="K438" t="s">
        <v>713</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628</v>
      </c>
      <c r="K439" t="s">
        <v>713</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734</v>
      </c>
      <c r="J440" t="s">
        <v>628</v>
      </c>
      <c r="K440" t="s">
        <v>713</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628</v>
      </c>
      <c r="K441" t="s">
        <v>713</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628</v>
      </c>
      <c r="K442" t="s">
        <v>713</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837</v>
      </c>
      <c r="J443" t="s">
        <v>628</v>
      </c>
      <c r="K443" t="s">
        <v>713</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775</v>
      </c>
      <c r="J444" t="s">
        <v>628</v>
      </c>
      <c r="K444" t="s">
        <v>713</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894</v>
      </c>
      <c r="J445" t="s">
        <v>628</v>
      </c>
      <c r="K445" t="s">
        <v>713</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731</v>
      </c>
      <c r="J446" t="s">
        <v>628</v>
      </c>
      <c r="K446" t="s">
        <v>713</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840</v>
      </c>
      <c r="J447" t="s">
        <v>628</v>
      </c>
      <c r="K447" t="s">
        <v>713</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628</v>
      </c>
      <c r="K448" t="s">
        <v>713</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822</v>
      </c>
      <c r="J449" t="s">
        <v>628</v>
      </c>
      <c r="K449" t="s">
        <v>713</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628</v>
      </c>
      <c r="K450" t="s">
        <v>713</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628</v>
      </c>
      <c r="K451" t="s">
        <v>713</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848</v>
      </c>
      <c r="J452" t="s">
        <v>628</v>
      </c>
      <c r="K452" t="s">
        <v>713</v>
      </c>
      <c r="L452">
        <v>19</v>
      </c>
      <c r="M452">
        <v>10</v>
      </c>
      <c r="N452">
        <v>2</v>
      </c>
      <c r="O452">
        <v>1878</v>
      </c>
      <c r="P452">
        <v>1878</v>
      </c>
      <c r="Q452" t="s">
        <v>941</v>
      </c>
    </row>
    <row r="453" spans="1:17" x14ac:dyDescent="0.3">
      <c r="A453">
        <v>558</v>
      </c>
      <c r="B453" t="s">
        <v>546</v>
      </c>
      <c r="C453">
        <v>64</v>
      </c>
      <c r="D453">
        <v>3</v>
      </c>
      <c r="E453" s="2">
        <v>45160</v>
      </c>
      <c r="F453" s="3">
        <v>2.9837962962962962E-2</v>
      </c>
      <c r="G453" s="2">
        <v>45163</v>
      </c>
      <c r="H453" s="3">
        <v>1.726851851851852E-2</v>
      </c>
      <c r="I453" t="s">
        <v>846</v>
      </c>
      <c r="J453" t="s">
        <v>628</v>
      </c>
      <c r="K453" t="s">
        <v>713</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628</v>
      </c>
      <c r="K454" t="s">
        <v>713</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766</v>
      </c>
      <c r="J455" t="s">
        <v>628</v>
      </c>
      <c r="K455" t="s">
        <v>713</v>
      </c>
      <c r="L455">
        <v>7</v>
      </c>
      <c r="M455">
        <v>6</v>
      </c>
      <c r="N455">
        <v>8</v>
      </c>
      <c r="O455">
        <v>1672</v>
      </c>
      <c r="P455">
        <v>6688</v>
      </c>
      <c r="Q455" t="s">
        <v>939</v>
      </c>
    </row>
    <row r="456" spans="1:17" x14ac:dyDescent="0.3">
      <c r="A456">
        <v>584</v>
      </c>
      <c r="B456" t="s">
        <v>534</v>
      </c>
      <c r="C456">
        <v>34</v>
      </c>
      <c r="D456">
        <v>2</v>
      </c>
      <c r="E456" s="2">
        <v>45161</v>
      </c>
      <c r="F456" s="3">
        <v>0.3190972222222222</v>
      </c>
      <c r="G456" s="2">
        <v>45165</v>
      </c>
      <c r="H456" s="3">
        <v>0.67393518518518514</v>
      </c>
      <c r="I456" t="s">
        <v>874</v>
      </c>
      <c r="J456" t="s">
        <v>628</v>
      </c>
      <c r="K456" t="s">
        <v>713</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628</v>
      </c>
      <c r="K457" t="s">
        <v>713</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826</v>
      </c>
      <c r="J458" t="s">
        <v>628</v>
      </c>
      <c r="K458" t="s">
        <v>713</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813</v>
      </c>
      <c r="J459" t="s">
        <v>628</v>
      </c>
      <c r="K459" t="s">
        <v>713</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771</v>
      </c>
      <c r="J460" t="s">
        <v>628</v>
      </c>
      <c r="K460" t="s">
        <v>713</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793</v>
      </c>
      <c r="J461" t="s">
        <v>628</v>
      </c>
      <c r="K461" t="s">
        <v>713</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749</v>
      </c>
      <c r="J462" t="s">
        <v>628</v>
      </c>
      <c r="K462" t="s">
        <v>713</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727</v>
      </c>
      <c r="J463" t="s">
        <v>628</v>
      </c>
      <c r="K463" t="s">
        <v>713</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902</v>
      </c>
      <c r="J464" t="s">
        <v>628</v>
      </c>
      <c r="K464" t="s">
        <v>713</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747</v>
      </c>
      <c r="J465" t="s">
        <v>628</v>
      </c>
      <c r="K465" t="s">
        <v>713</v>
      </c>
      <c r="L465">
        <v>7</v>
      </c>
      <c r="M465">
        <v>8</v>
      </c>
      <c r="N465">
        <v>3</v>
      </c>
      <c r="O465">
        <v>1672</v>
      </c>
      <c r="P465">
        <v>3344</v>
      </c>
      <c r="Q465" t="s">
        <v>938</v>
      </c>
    </row>
    <row r="466" spans="1:17" x14ac:dyDescent="0.3">
      <c r="A466">
        <v>640</v>
      </c>
      <c r="B466" t="s">
        <v>534</v>
      </c>
      <c r="C466">
        <v>59</v>
      </c>
      <c r="D466">
        <v>3</v>
      </c>
      <c r="E466" s="2">
        <v>45161</v>
      </c>
      <c r="F466" s="3">
        <v>0.26170138888888889</v>
      </c>
      <c r="G466" s="2">
        <v>45169</v>
      </c>
      <c r="H466" s="3">
        <v>0.79677083333333332</v>
      </c>
      <c r="I466" t="s">
        <v>743</v>
      </c>
      <c r="J466" t="s">
        <v>628</v>
      </c>
      <c r="K466" t="s">
        <v>713</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542</v>
      </c>
      <c r="J467" t="s">
        <v>628</v>
      </c>
      <c r="K467" t="s">
        <v>713</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600</v>
      </c>
      <c r="J468" t="s">
        <v>628</v>
      </c>
      <c r="K468" t="s">
        <v>713</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781</v>
      </c>
      <c r="J469" t="s">
        <v>628</v>
      </c>
      <c r="K469" t="s">
        <v>713</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628</v>
      </c>
      <c r="K470" t="s">
        <v>713</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628</v>
      </c>
      <c r="K471" t="s">
        <v>713</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872</v>
      </c>
      <c r="J472" t="s">
        <v>628</v>
      </c>
      <c r="K472" t="s">
        <v>713</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774</v>
      </c>
      <c r="J473" t="s">
        <v>628</v>
      </c>
      <c r="K473" t="s">
        <v>713</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735</v>
      </c>
      <c r="J474" t="s">
        <v>628</v>
      </c>
      <c r="K474" t="s">
        <v>713</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887</v>
      </c>
      <c r="J475" t="s">
        <v>628</v>
      </c>
      <c r="K475" t="s">
        <v>713</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628</v>
      </c>
      <c r="K476" t="s">
        <v>713</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869</v>
      </c>
      <c r="J477" t="s">
        <v>628</v>
      </c>
      <c r="K477" t="s">
        <v>713</v>
      </c>
      <c r="L477">
        <v>19</v>
      </c>
      <c r="M477">
        <v>10</v>
      </c>
      <c r="N477">
        <v>18</v>
      </c>
      <c r="O477">
        <v>1335</v>
      </c>
      <c r="P477">
        <v>2670</v>
      </c>
      <c r="Q477" t="s">
        <v>940</v>
      </c>
    </row>
    <row r="478" spans="1:17" x14ac:dyDescent="0.3">
      <c r="A478">
        <v>730</v>
      </c>
      <c r="B478" t="s">
        <v>581</v>
      </c>
      <c r="C478">
        <v>59</v>
      </c>
      <c r="D478">
        <v>1</v>
      </c>
      <c r="E478" s="2">
        <v>45160</v>
      </c>
      <c r="F478" s="3">
        <v>8.6145833333333338E-2</v>
      </c>
      <c r="G478" s="2">
        <v>45163</v>
      </c>
      <c r="H478" s="3">
        <v>0.94409722222222225</v>
      </c>
      <c r="I478" t="s">
        <v>902</v>
      </c>
      <c r="J478" t="s">
        <v>628</v>
      </c>
      <c r="K478" t="s">
        <v>713</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628</v>
      </c>
      <c r="K479" t="s">
        <v>713</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835</v>
      </c>
      <c r="J480" t="s">
        <v>628</v>
      </c>
      <c r="K480" t="s">
        <v>713</v>
      </c>
      <c r="L480">
        <v>12</v>
      </c>
      <c r="M480">
        <v>9</v>
      </c>
      <c r="N480">
        <v>21</v>
      </c>
      <c r="O480">
        <v>1672</v>
      </c>
      <c r="P480">
        <v>8360</v>
      </c>
      <c r="Q480" t="s">
        <v>937</v>
      </c>
    </row>
    <row r="481" spans="1:17" x14ac:dyDescent="0.3">
      <c r="A481">
        <v>742</v>
      </c>
      <c r="B481" t="s">
        <v>534</v>
      </c>
      <c r="C481">
        <v>53</v>
      </c>
      <c r="D481">
        <v>5</v>
      </c>
      <c r="E481" s="2">
        <v>45162</v>
      </c>
      <c r="F481" s="3">
        <v>0.82646990740740744</v>
      </c>
      <c r="G481" s="2">
        <v>45164</v>
      </c>
      <c r="H481" s="3">
        <v>0.6653472222222222</v>
      </c>
      <c r="I481" t="s">
        <v>19</v>
      </c>
      <c r="J481" t="s">
        <v>628</v>
      </c>
      <c r="K481" t="s">
        <v>713</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864</v>
      </c>
      <c r="J482" t="s">
        <v>628</v>
      </c>
      <c r="K482" t="s">
        <v>713</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739</v>
      </c>
      <c r="J483" t="s">
        <v>628</v>
      </c>
      <c r="K483" t="s">
        <v>713</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923</v>
      </c>
      <c r="J484" t="s">
        <v>628</v>
      </c>
      <c r="K484" t="s">
        <v>713</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888</v>
      </c>
      <c r="J485" t="s">
        <v>628</v>
      </c>
      <c r="K485" t="s">
        <v>713</v>
      </c>
      <c r="L485">
        <v>21</v>
      </c>
      <c r="M485">
        <v>2</v>
      </c>
      <c r="N485">
        <v>14</v>
      </c>
      <c r="O485">
        <v>1605</v>
      </c>
      <c r="P485">
        <v>1605</v>
      </c>
      <c r="Q485" t="s">
        <v>938</v>
      </c>
    </row>
    <row r="486" spans="1:17" x14ac:dyDescent="0.3">
      <c r="A486">
        <v>788</v>
      </c>
      <c r="B486" t="s">
        <v>593</v>
      </c>
      <c r="C486">
        <v>53</v>
      </c>
      <c r="D486">
        <v>3</v>
      </c>
      <c r="E486" s="2">
        <v>45162</v>
      </c>
      <c r="F486" s="3">
        <v>0.20761574074074074</v>
      </c>
      <c r="G486" s="2">
        <v>45165</v>
      </c>
      <c r="H486" s="3">
        <v>0.37282407407407409</v>
      </c>
      <c r="I486" t="s">
        <v>823</v>
      </c>
      <c r="J486" t="s">
        <v>628</v>
      </c>
      <c r="K486" t="s">
        <v>713</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628</v>
      </c>
      <c r="K487" t="s">
        <v>713</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825</v>
      </c>
      <c r="J488" t="s">
        <v>628</v>
      </c>
      <c r="K488" t="s">
        <v>713</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628</v>
      </c>
      <c r="K489" t="s">
        <v>713</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926</v>
      </c>
      <c r="J490" t="s">
        <v>628</v>
      </c>
      <c r="K490" t="s">
        <v>713</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875</v>
      </c>
      <c r="J491" t="s">
        <v>628</v>
      </c>
      <c r="K491" t="s">
        <v>713</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872</v>
      </c>
      <c r="J492" t="s">
        <v>628</v>
      </c>
      <c r="K492" t="s">
        <v>713</v>
      </c>
      <c r="L492">
        <v>22</v>
      </c>
      <c r="M492">
        <v>1</v>
      </c>
      <c r="N492">
        <v>0</v>
      </c>
      <c r="O492">
        <v>1605</v>
      </c>
      <c r="P492">
        <v>1605</v>
      </c>
      <c r="Q492" t="s">
        <v>941</v>
      </c>
    </row>
    <row r="493" spans="1:17" x14ac:dyDescent="0.3">
      <c r="A493">
        <v>850</v>
      </c>
      <c r="B493" t="s">
        <v>552</v>
      </c>
      <c r="C493">
        <v>21</v>
      </c>
      <c r="D493">
        <v>4</v>
      </c>
      <c r="E493" s="2">
        <v>45161</v>
      </c>
      <c r="F493" s="3">
        <v>0.96894675925925922</v>
      </c>
      <c r="G493" s="2">
        <v>45163</v>
      </c>
      <c r="H493" s="3">
        <v>0.43820601851851854</v>
      </c>
      <c r="I493" t="s">
        <v>710</v>
      </c>
      <c r="J493" t="s">
        <v>628</v>
      </c>
      <c r="K493" t="s">
        <v>713</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628</v>
      </c>
      <c r="K494" t="s">
        <v>713</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718</v>
      </c>
      <c r="J495" t="s">
        <v>628</v>
      </c>
      <c r="K495" t="s">
        <v>713</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628</v>
      </c>
      <c r="K496" t="s">
        <v>713</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548</v>
      </c>
      <c r="J497" t="s">
        <v>628</v>
      </c>
      <c r="K497" t="s">
        <v>713</v>
      </c>
      <c r="L497">
        <v>15</v>
      </c>
      <c r="M497">
        <v>7</v>
      </c>
      <c r="N497">
        <v>12</v>
      </c>
      <c r="O497">
        <v>1778</v>
      </c>
      <c r="P497">
        <v>7112</v>
      </c>
      <c r="Q497" t="s">
        <v>940</v>
      </c>
    </row>
    <row r="498" spans="1:17" x14ac:dyDescent="0.3">
      <c r="A498">
        <v>882</v>
      </c>
      <c r="B498" t="s">
        <v>534</v>
      </c>
      <c r="C498">
        <v>64</v>
      </c>
      <c r="D498">
        <v>2</v>
      </c>
      <c r="E498" s="2">
        <v>45167</v>
      </c>
      <c r="F498" s="3">
        <v>0.23101851851851851</v>
      </c>
      <c r="G498" s="2">
        <v>45177</v>
      </c>
      <c r="H498" s="3">
        <v>0.67700231481481477</v>
      </c>
      <c r="I498" t="s">
        <v>391</v>
      </c>
      <c r="J498" t="s">
        <v>628</v>
      </c>
      <c r="K498" t="s">
        <v>713</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716</v>
      </c>
      <c r="J499" t="s">
        <v>628</v>
      </c>
      <c r="K499" t="s">
        <v>713</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918</v>
      </c>
      <c r="J500" t="s">
        <v>628</v>
      </c>
      <c r="K500" t="s">
        <v>713</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565</v>
      </c>
      <c r="J501" t="s">
        <v>628</v>
      </c>
      <c r="K501" t="s">
        <v>713</v>
      </c>
      <c r="L501">
        <v>7</v>
      </c>
      <c r="M501">
        <v>5</v>
      </c>
      <c r="N501">
        <v>1</v>
      </c>
      <c r="O501">
        <v>548</v>
      </c>
      <c r="P501">
        <v>2192</v>
      </c>
      <c r="Q501" t="s">
        <v>941</v>
      </c>
    </row>
    <row r="502" spans="1:17" x14ac:dyDescent="0.3">
      <c r="A502">
        <v>908</v>
      </c>
      <c r="B502" t="s">
        <v>540</v>
      </c>
      <c r="C502">
        <v>28</v>
      </c>
      <c r="D502">
        <v>5</v>
      </c>
      <c r="E502" s="2">
        <v>45160</v>
      </c>
      <c r="F502" s="3">
        <v>0.66070601851851851</v>
      </c>
      <c r="G502" s="2">
        <v>45162</v>
      </c>
      <c r="H502" s="3">
        <v>0.95148148148148148</v>
      </c>
      <c r="I502" t="s">
        <v>774</v>
      </c>
      <c r="J502" t="s">
        <v>628</v>
      </c>
      <c r="K502" t="s">
        <v>713</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628</v>
      </c>
      <c r="K503" t="s">
        <v>713</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868</v>
      </c>
      <c r="J504" t="s">
        <v>628</v>
      </c>
      <c r="K504" t="s">
        <v>713</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730</v>
      </c>
      <c r="J505" t="s">
        <v>628</v>
      </c>
      <c r="K505" t="s">
        <v>713</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880</v>
      </c>
      <c r="J506" t="s">
        <v>628</v>
      </c>
      <c r="K506" t="s">
        <v>713</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628</v>
      </c>
      <c r="K507" t="s">
        <v>713</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628</v>
      </c>
      <c r="K508" t="s">
        <v>713</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889</v>
      </c>
      <c r="J509" t="s">
        <v>628</v>
      </c>
      <c r="K509" t="s">
        <v>713</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916</v>
      </c>
      <c r="J510" t="s">
        <v>628</v>
      </c>
      <c r="K510" t="s">
        <v>713</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910</v>
      </c>
      <c r="J511" t="s">
        <v>628</v>
      </c>
      <c r="K511" t="s">
        <v>713</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852</v>
      </c>
      <c r="J512" t="s">
        <v>628</v>
      </c>
      <c r="K512" t="s">
        <v>713</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611</v>
      </c>
      <c r="K513" t="s">
        <v>713</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763</v>
      </c>
      <c r="J514" t="s">
        <v>630</v>
      </c>
      <c r="K514" t="s">
        <v>713</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805</v>
      </c>
      <c r="J515" t="s">
        <v>626</v>
      </c>
      <c r="K515" t="s">
        <v>713</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782</v>
      </c>
      <c r="J516" t="s">
        <v>630</v>
      </c>
      <c r="K516" t="s">
        <v>713</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716</v>
      </c>
      <c r="J517" t="s">
        <v>611</v>
      </c>
      <c r="K517" t="s">
        <v>713</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815</v>
      </c>
      <c r="J518" t="s">
        <v>626</v>
      </c>
      <c r="K518" t="s">
        <v>713</v>
      </c>
      <c r="L518">
        <v>9</v>
      </c>
      <c r="M518">
        <v>8</v>
      </c>
      <c r="N518">
        <v>8</v>
      </c>
      <c r="O518">
        <v>751</v>
      </c>
      <c r="P518">
        <v>1502</v>
      </c>
      <c r="Q518" t="s">
        <v>936</v>
      </c>
    </row>
    <row r="519" spans="1:17" x14ac:dyDescent="0.3">
      <c r="A519">
        <v>198</v>
      </c>
      <c r="B519" t="s">
        <v>540</v>
      </c>
      <c r="C519">
        <v>24</v>
      </c>
      <c r="D519">
        <v>2</v>
      </c>
      <c r="E519" s="2">
        <v>45165</v>
      </c>
      <c r="F519" s="3">
        <v>0.9400115740740741</v>
      </c>
      <c r="G519" s="2">
        <v>45173</v>
      </c>
      <c r="H519" s="3">
        <v>4.8495370370370369E-2</v>
      </c>
      <c r="I519" t="s">
        <v>600</v>
      </c>
      <c r="J519" t="s">
        <v>630</v>
      </c>
      <c r="K519" t="s">
        <v>713</v>
      </c>
      <c r="L519">
        <v>22</v>
      </c>
      <c r="M519">
        <v>8</v>
      </c>
      <c r="N519">
        <v>1</v>
      </c>
      <c r="O519">
        <v>535</v>
      </c>
      <c r="P519">
        <v>1070</v>
      </c>
      <c r="Q519" t="s">
        <v>939</v>
      </c>
    </row>
    <row r="520" spans="1:17" x14ac:dyDescent="0.3">
      <c r="A520">
        <v>199</v>
      </c>
      <c r="B520" t="s">
        <v>557</v>
      </c>
      <c r="C520">
        <v>70</v>
      </c>
      <c r="D520">
        <v>5</v>
      </c>
      <c r="E520" s="2">
        <v>45154</v>
      </c>
      <c r="F520" s="3">
        <v>7.9513888888888884E-2</v>
      </c>
      <c r="G520" s="2">
        <v>45157</v>
      </c>
      <c r="H520" s="3">
        <v>0.68401620370370375</v>
      </c>
      <c r="I520" t="s">
        <v>816</v>
      </c>
      <c r="J520" t="s">
        <v>630</v>
      </c>
      <c r="K520" t="s">
        <v>713</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742</v>
      </c>
      <c r="J521" t="s">
        <v>630</v>
      </c>
      <c r="K521" t="s">
        <v>713</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766</v>
      </c>
      <c r="J522" t="s">
        <v>626</v>
      </c>
      <c r="K522" t="s">
        <v>713</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626</v>
      </c>
      <c r="K523" t="s">
        <v>713</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853</v>
      </c>
      <c r="J524" t="s">
        <v>611</v>
      </c>
      <c r="K524" t="s">
        <v>713</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827</v>
      </c>
      <c r="J525" t="s">
        <v>630</v>
      </c>
      <c r="K525" t="s">
        <v>713</v>
      </c>
      <c r="L525">
        <v>12</v>
      </c>
      <c r="M525">
        <v>4</v>
      </c>
      <c r="N525">
        <v>15</v>
      </c>
      <c r="O525">
        <v>562</v>
      </c>
      <c r="P525">
        <v>1686</v>
      </c>
      <c r="Q525" t="s">
        <v>939</v>
      </c>
    </row>
    <row r="526" spans="1:17" x14ac:dyDescent="0.3">
      <c r="A526">
        <v>329</v>
      </c>
      <c r="B526" t="s">
        <v>569</v>
      </c>
      <c r="C526">
        <v>17</v>
      </c>
      <c r="D526">
        <v>3</v>
      </c>
      <c r="E526" s="2">
        <v>45164</v>
      </c>
      <c r="F526" s="3">
        <v>9.8645833333333335E-2</v>
      </c>
      <c r="G526" s="2">
        <v>45173</v>
      </c>
      <c r="H526" s="3">
        <v>0.13115740740740742</v>
      </c>
      <c r="I526" t="s">
        <v>862</v>
      </c>
      <c r="J526" t="s">
        <v>626</v>
      </c>
      <c r="K526" t="s">
        <v>713</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834</v>
      </c>
      <c r="J527" t="s">
        <v>611</v>
      </c>
      <c r="K527" t="s">
        <v>713</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630</v>
      </c>
      <c r="K528" t="s">
        <v>713</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890</v>
      </c>
      <c r="J529" t="s">
        <v>626</v>
      </c>
      <c r="K529" t="s">
        <v>713</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780</v>
      </c>
      <c r="J530" t="s">
        <v>630</v>
      </c>
      <c r="K530" t="s">
        <v>713</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891</v>
      </c>
      <c r="J531" t="s">
        <v>626</v>
      </c>
      <c r="K531" t="s">
        <v>713</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825</v>
      </c>
      <c r="J532" t="s">
        <v>630</v>
      </c>
      <c r="K532" t="s">
        <v>713</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611</v>
      </c>
      <c r="K533" t="s">
        <v>713</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837</v>
      </c>
      <c r="J534" t="s">
        <v>611</v>
      </c>
      <c r="K534" t="s">
        <v>713</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765</v>
      </c>
      <c r="J535" t="s">
        <v>611</v>
      </c>
      <c r="K535" t="s">
        <v>713</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845</v>
      </c>
      <c r="J536" t="s">
        <v>630</v>
      </c>
      <c r="K536" t="s">
        <v>713</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626</v>
      </c>
      <c r="K537" t="s">
        <v>713</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626</v>
      </c>
      <c r="K538" t="s">
        <v>713</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754</v>
      </c>
      <c r="J539" t="s">
        <v>611</v>
      </c>
      <c r="K539" t="s">
        <v>713</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793</v>
      </c>
      <c r="J540" t="s">
        <v>630</v>
      </c>
      <c r="K540" t="s">
        <v>713</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577</v>
      </c>
      <c r="J541" t="s">
        <v>626</v>
      </c>
      <c r="K541" t="s">
        <v>713</v>
      </c>
      <c r="L541">
        <v>20</v>
      </c>
      <c r="M541">
        <v>1</v>
      </c>
      <c r="N541">
        <v>8</v>
      </c>
      <c r="O541">
        <v>1488</v>
      </c>
      <c r="P541">
        <v>7440</v>
      </c>
      <c r="Q541" t="s">
        <v>942</v>
      </c>
    </row>
    <row r="542" spans="1:17" x14ac:dyDescent="0.3">
      <c r="A542">
        <v>868</v>
      </c>
      <c r="B542" t="s">
        <v>593</v>
      </c>
      <c r="C542">
        <v>32</v>
      </c>
      <c r="D542">
        <v>1</v>
      </c>
      <c r="E542" s="2">
        <v>45160</v>
      </c>
      <c r="F542" s="3">
        <v>4.2557870370370371E-2</v>
      </c>
      <c r="G542" s="2">
        <v>45168</v>
      </c>
      <c r="H542" s="3">
        <v>0.42305555555555557</v>
      </c>
      <c r="I542" t="s">
        <v>409</v>
      </c>
      <c r="J542" t="s">
        <v>630</v>
      </c>
      <c r="K542" t="s">
        <v>713</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839</v>
      </c>
      <c r="J543" t="s">
        <v>630</v>
      </c>
      <c r="K543" t="s">
        <v>713</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735</v>
      </c>
      <c r="J544" t="s">
        <v>611</v>
      </c>
      <c r="K544" t="s">
        <v>713</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847</v>
      </c>
      <c r="J545" t="s">
        <v>611</v>
      </c>
      <c r="K545" t="s">
        <v>713</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611</v>
      </c>
      <c r="K546" t="s">
        <v>705</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772</v>
      </c>
      <c r="J547" t="s">
        <v>630</v>
      </c>
      <c r="K547" t="s">
        <v>705</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611</v>
      </c>
      <c r="K548" t="s">
        <v>705</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630</v>
      </c>
      <c r="K549" t="s">
        <v>705</v>
      </c>
      <c r="L549">
        <v>23</v>
      </c>
      <c r="M549">
        <v>4</v>
      </c>
      <c r="N549">
        <v>2</v>
      </c>
      <c r="O549">
        <v>722</v>
      </c>
      <c r="P549">
        <v>3610</v>
      </c>
      <c r="Q549" t="s">
        <v>941</v>
      </c>
    </row>
    <row r="550" spans="1:17" x14ac:dyDescent="0.3">
      <c r="A550">
        <v>178</v>
      </c>
      <c r="B550" t="s">
        <v>581</v>
      </c>
      <c r="C550">
        <v>61</v>
      </c>
      <c r="D550">
        <v>1</v>
      </c>
      <c r="E550" s="2">
        <v>45244</v>
      </c>
      <c r="F550" s="3">
        <v>0.96146990740740745</v>
      </c>
      <c r="G550" s="2">
        <v>45246</v>
      </c>
      <c r="H550" s="3">
        <v>9.3321759259259257E-2</v>
      </c>
      <c r="I550" t="s">
        <v>478</v>
      </c>
      <c r="J550" t="s">
        <v>626</v>
      </c>
      <c r="K550" t="s">
        <v>705</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630</v>
      </c>
      <c r="K551" t="s">
        <v>705</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740</v>
      </c>
      <c r="J552" t="s">
        <v>630</v>
      </c>
      <c r="K552" t="s">
        <v>705</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626</v>
      </c>
      <c r="K553" t="s">
        <v>705</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848</v>
      </c>
      <c r="J554" t="s">
        <v>626</v>
      </c>
      <c r="K554" t="s">
        <v>705</v>
      </c>
      <c r="L554">
        <v>2</v>
      </c>
      <c r="M554">
        <v>7</v>
      </c>
      <c r="N554">
        <v>18</v>
      </c>
      <c r="O554">
        <v>1098</v>
      </c>
      <c r="P554">
        <v>2196</v>
      </c>
      <c r="Q554" t="s">
        <v>942</v>
      </c>
    </row>
    <row r="555" spans="1:17" x14ac:dyDescent="0.3">
      <c r="A555">
        <v>299</v>
      </c>
      <c r="B555" t="s">
        <v>546</v>
      </c>
      <c r="C555">
        <v>8</v>
      </c>
      <c r="D555">
        <v>5</v>
      </c>
      <c r="E555" s="2">
        <v>45238</v>
      </c>
      <c r="F555" s="3">
        <v>0.49399305555555556</v>
      </c>
      <c r="G555" s="2">
        <v>45247</v>
      </c>
      <c r="H555" s="3">
        <v>0.55406250000000001</v>
      </c>
      <c r="I555" t="s">
        <v>224</v>
      </c>
      <c r="J555" t="s">
        <v>626</v>
      </c>
      <c r="K555" t="s">
        <v>705</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770</v>
      </c>
      <c r="J556" t="s">
        <v>630</v>
      </c>
      <c r="K556" t="s">
        <v>705</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583</v>
      </c>
      <c r="J557" t="s">
        <v>626</v>
      </c>
      <c r="K557" t="s">
        <v>705</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762</v>
      </c>
      <c r="J558" t="s">
        <v>630</v>
      </c>
      <c r="K558" t="s">
        <v>705</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626</v>
      </c>
      <c r="K559" t="s">
        <v>705</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708</v>
      </c>
      <c r="J560" t="s">
        <v>626</v>
      </c>
      <c r="K560" t="s">
        <v>705</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626</v>
      </c>
      <c r="K561" t="s">
        <v>705</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801</v>
      </c>
      <c r="J562" t="s">
        <v>630</v>
      </c>
      <c r="K562" t="s">
        <v>705</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870</v>
      </c>
      <c r="J563" t="s">
        <v>626</v>
      </c>
      <c r="K563" t="s">
        <v>705</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780</v>
      </c>
      <c r="J564" t="s">
        <v>611</v>
      </c>
      <c r="K564" t="s">
        <v>705</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826</v>
      </c>
      <c r="J565" t="s">
        <v>611</v>
      </c>
      <c r="K565" t="s">
        <v>705</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630</v>
      </c>
      <c r="K566" t="s">
        <v>705</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611</v>
      </c>
      <c r="K567" t="s">
        <v>705</v>
      </c>
      <c r="L567">
        <v>13</v>
      </c>
      <c r="M567">
        <v>7</v>
      </c>
      <c r="N567">
        <v>4</v>
      </c>
      <c r="O567">
        <v>1084</v>
      </c>
      <c r="P567">
        <v>4336</v>
      </c>
      <c r="Q567" t="s">
        <v>937</v>
      </c>
    </row>
    <row r="568" spans="1:17" x14ac:dyDescent="0.3">
      <c r="A568">
        <v>635</v>
      </c>
      <c r="B568" t="s">
        <v>569</v>
      </c>
      <c r="C568">
        <v>67</v>
      </c>
      <c r="D568">
        <v>1</v>
      </c>
      <c r="E568" s="2">
        <v>45242</v>
      </c>
      <c r="F568" s="3">
        <v>0.77582175925925922</v>
      </c>
      <c r="G568" s="2">
        <v>45252</v>
      </c>
      <c r="H568" s="3">
        <v>0.30800925925925926</v>
      </c>
      <c r="I568" t="s">
        <v>809</v>
      </c>
      <c r="J568" t="s">
        <v>626</v>
      </c>
      <c r="K568" t="s">
        <v>705</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787</v>
      </c>
      <c r="J569" t="s">
        <v>626</v>
      </c>
      <c r="K569" t="s">
        <v>705</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801</v>
      </c>
      <c r="J570" t="s">
        <v>626</v>
      </c>
      <c r="K570" t="s">
        <v>705</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626</v>
      </c>
      <c r="K571" t="s">
        <v>705</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912</v>
      </c>
      <c r="J572" t="s">
        <v>626</v>
      </c>
      <c r="K572" t="s">
        <v>705</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891</v>
      </c>
      <c r="J573" t="s">
        <v>611</v>
      </c>
      <c r="K573" t="s">
        <v>705</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782</v>
      </c>
      <c r="J574" t="s">
        <v>611</v>
      </c>
      <c r="K574" t="s">
        <v>705</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626</v>
      </c>
      <c r="K575" t="s">
        <v>705</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927</v>
      </c>
      <c r="J576" t="s">
        <v>611</v>
      </c>
      <c r="K576" t="s">
        <v>705</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827</v>
      </c>
      <c r="J577" t="s">
        <v>626</v>
      </c>
      <c r="K577" t="s">
        <v>705</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611</v>
      </c>
      <c r="K578" t="s">
        <v>705</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929</v>
      </c>
      <c r="J579" t="s">
        <v>626</v>
      </c>
      <c r="K579" t="s">
        <v>705</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850</v>
      </c>
      <c r="J580" t="s">
        <v>611</v>
      </c>
      <c r="K580" t="s">
        <v>705</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751</v>
      </c>
      <c r="J581" t="s">
        <v>626</v>
      </c>
      <c r="K581" t="s">
        <v>705</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893</v>
      </c>
      <c r="J582" t="s">
        <v>626</v>
      </c>
      <c r="K582" t="s">
        <v>705</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626</v>
      </c>
      <c r="K583" t="s">
        <v>705</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759</v>
      </c>
      <c r="J584" t="s">
        <v>611</v>
      </c>
      <c r="K584" t="s">
        <v>705</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704</v>
      </c>
      <c r="J585" t="s">
        <v>619</v>
      </c>
      <c r="K585" t="s">
        <v>705</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706</v>
      </c>
      <c r="J586" t="s">
        <v>619</v>
      </c>
      <c r="K586" t="s">
        <v>705</v>
      </c>
      <c r="L586">
        <v>6</v>
      </c>
      <c r="M586">
        <v>7</v>
      </c>
      <c r="N586">
        <v>10</v>
      </c>
      <c r="O586">
        <v>1977</v>
      </c>
      <c r="P586">
        <v>7908</v>
      </c>
      <c r="Q586" t="s">
        <v>942</v>
      </c>
    </row>
    <row r="587" spans="1:17" x14ac:dyDescent="0.3">
      <c r="A587">
        <v>8</v>
      </c>
      <c r="B587" t="s">
        <v>581</v>
      </c>
      <c r="C587">
        <v>43</v>
      </c>
      <c r="D587">
        <v>3</v>
      </c>
      <c r="E587" s="2">
        <v>45238</v>
      </c>
      <c r="F587" s="3">
        <v>0.80557870370370366</v>
      </c>
      <c r="G587" s="2">
        <v>45244</v>
      </c>
      <c r="H587" s="3">
        <v>0.36440972222222223</v>
      </c>
      <c r="I587" t="s">
        <v>721</v>
      </c>
      <c r="J587" t="s">
        <v>619</v>
      </c>
      <c r="K587" t="s">
        <v>705</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619</v>
      </c>
      <c r="K588" t="s">
        <v>705</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619</v>
      </c>
      <c r="K589" t="s">
        <v>705</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722</v>
      </c>
      <c r="J590" t="s">
        <v>619</v>
      </c>
      <c r="K590" t="s">
        <v>705</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619</v>
      </c>
      <c r="K591" t="s">
        <v>705</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619</v>
      </c>
      <c r="K592" t="s">
        <v>705</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619</v>
      </c>
      <c r="K593" t="s">
        <v>705</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752</v>
      </c>
      <c r="J594" t="s">
        <v>619</v>
      </c>
      <c r="K594" t="s">
        <v>705</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756</v>
      </c>
      <c r="J595" t="s">
        <v>619</v>
      </c>
      <c r="K595" t="s">
        <v>705</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619</v>
      </c>
      <c r="K596" t="s">
        <v>705</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767</v>
      </c>
      <c r="J597" t="s">
        <v>619</v>
      </c>
      <c r="K597" t="s">
        <v>705</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708</v>
      </c>
      <c r="J598" t="s">
        <v>619</v>
      </c>
      <c r="K598" t="s">
        <v>705</v>
      </c>
      <c r="L598">
        <v>20</v>
      </c>
      <c r="M598">
        <v>5</v>
      </c>
      <c r="N598">
        <v>1</v>
      </c>
      <c r="O598">
        <v>1977</v>
      </c>
      <c r="P598">
        <v>1977</v>
      </c>
      <c r="Q598" t="s">
        <v>938</v>
      </c>
    </row>
    <row r="599" spans="1:17" x14ac:dyDescent="0.3">
      <c r="A599">
        <v>106</v>
      </c>
      <c r="B599" t="s">
        <v>569</v>
      </c>
      <c r="C599">
        <v>41</v>
      </c>
      <c r="D599">
        <v>2</v>
      </c>
      <c r="E599" s="2">
        <v>45236</v>
      </c>
      <c r="F599" s="3">
        <v>0.74706018518518513</v>
      </c>
      <c r="G599" s="2">
        <v>45238</v>
      </c>
      <c r="H599" s="3">
        <v>0.95865740740740746</v>
      </c>
      <c r="I599" t="s">
        <v>63</v>
      </c>
      <c r="J599" t="s">
        <v>619</v>
      </c>
      <c r="K599" t="s">
        <v>705</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776</v>
      </c>
      <c r="J600" t="s">
        <v>619</v>
      </c>
      <c r="K600" t="s">
        <v>705</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779</v>
      </c>
      <c r="J601" t="s">
        <v>619</v>
      </c>
      <c r="K601" t="s">
        <v>705</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782</v>
      </c>
      <c r="J602" t="s">
        <v>619</v>
      </c>
      <c r="K602" t="s">
        <v>705</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619</v>
      </c>
      <c r="K603" t="s">
        <v>705</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619</v>
      </c>
      <c r="K604" t="s">
        <v>705</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801</v>
      </c>
      <c r="J605" t="s">
        <v>619</v>
      </c>
      <c r="K605" t="s">
        <v>705</v>
      </c>
      <c r="L605">
        <v>21</v>
      </c>
      <c r="M605">
        <v>7</v>
      </c>
      <c r="N605">
        <v>3</v>
      </c>
      <c r="O605">
        <v>750</v>
      </c>
      <c r="P605">
        <v>750</v>
      </c>
      <c r="Q605" t="s">
        <v>938</v>
      </c>
    </row>
    <row r="606" spans="1:17" x14ac:dyDescent="0.3">
      <c r="A606">
        <v>159</v>
      </c>
      <c r="B606" t="s">
        <v>569</v>
      </c>
      <c r="C606">
        <v>43</v>
      </c>
      <c r="D606">
        <v>3</v>
      </c>
      <c r="E606" s="2">
        <v>45239</v>
      </c>
      <c r="F606" s="3">
        <v>0.89697916666666666</v>
      </c>
      <c r="G606" s="2">
        <v>45241</v>
      </c>
      <c r="H606" s="3">
        <v>0.20550925925925925</v>
      </c>
      <c r="I606" t="s">
        <v>236</v>
      </c>
      <c r="J606" t="s">
        <v>619</v>
      </c>
      <c r="K606" t="s">
        <v>705</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806</v>
      </c>
      <c r="J607" t="s">
        <v>619</v>
      </c>
      <c r="K607" t="s">
        <v>705</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722</v>
      </c>
      <c r="J608" t="s">
        <v>619</v>
      </c>
      <c r="K608" t="s">
        <v>705</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764</v>
      </c>
      <c r="J609" t="s">
        <v>619</v>
      </c>
      <c r="K609" t="s">
        <v>705</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811</v>
      </c>
      <c r="J610" t="s">
        <v>619</v>
      </c>
      <c r="K610" t="s">
        <v>705</v>
      </c>
      <c r="L610">
        <v>18</v>
      </c>
      <c r="M610">
        <v>2</v>
      </c>
      <c r="N610">
        <v>15</v>
      </c>
      <c r="O610">
        <v>433</v>
      </c>
      <c r="P610">
        <v>1299</v>
      </c>
      <c r="Q610" t="s">
        <v>942</v>
      </c>
    </row>
    <row r="611" spans="1:17" x14ac:dyDescent="0.3">
      <c r="A611">
        <v>190</v>
      </c>
      <c r="B611" t="s">
        <v>575</v>
      </c>
      <c r="C611">
        <v>60</v>
      </c>
      <c r="D611">
        <v>5</v>
      </c>
      <c r="E611" s="2">
        <v>45239</v>
      </c>
      <c r="F611" s="3">
        <v>0.52348379629629627</v>
      </c>
      <c r="G611" s="2">
        <v>45243</v>
      </c>
      <c r="H611" s="3">
        <v>0.57041666666666668</v>
      </c>
      <c r="I611" t="s">
        <v>710</v>
      </c>
      <c r="J611" t="s">
        <v>619</v>
      </c>
      <c r="K611" t="s">
        <v>705</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838</v>
      </c>
      <c r="J612" t="s">
        <v>619</v>
      </c>
      <c r="K612" t="s">
        <v>705</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828</v>
      </c>
      <c r="J613" t="s">
        <v>619</v>
      </c>
      <c r="K613" t="s">
        <v>705</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619</v>
      </c>
      <c r="K614" t="s">
        <v>705</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843</v>
      </c>
      <c r="J615" t="s">
        <v>619</v>
      </c>
      <c r="K615" t="s">
        <v>705</v>
      </c>
      <c r="L615">
        <v>6</v>
      </c>
      <c r="M615">
        <v>10</v>
      </c>
      <c r="N615">
        <v>20</v>
      </c>
      <c r="O615">
        <v>1977</v>
      </c>
      <c r="P615">
        <v>9885</v>
      </c>
      <c r="Q615" t="s">
        <v>942</v>
      </c>
    </row>
    <row r="616" spans="1:17" x14ac:dyDescent="0.3">
      <c r="A616">
        <v>282</v>
      </c>
      <c r="B616" t="s">
        <v>552</v>
      </c>
      <c r="C616">
        <v>41</v>
      </c>
      <c r="D616">
        <v>2</v>
      </c>
      <c r="E616" s="2">
        <v>45241</v>
      </c>
      <c r="F616" s="3">
        <v>0.43112268518518521</v>
      </c>
      <c r="G616" s="2">
        <v>45249</v>
      </c>
      <c r="H616" s="3">
        <v>0.92476851851851849</v>
      </c>
      <c r="I616" t="s">
        <v>92</v>
      </c>
      <c r="J616" t="s">
        <v>619</v>
      </c>
      <c r="K616" t="s">
        <v>705</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619</v>
      </c>
      <c r="K617" t="s">
        <v>705</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808</v>
      </c>
      <c r="J618" t="s">
        <v>619</v>
      </c>
      <c r="K618" t="s">
        <v>705</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844</v>
      </c>
      <c r="J619" t="s">
        <v>619</v>
      </c>
      <c r="K619" t="s">
        <v>705</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831</v>
      </c>
      <c r="J620" t="s">
        <v>619</v>
      </c>
      <c r="K620" t="s">
        <v>705</v>
      </c>
      <c r="L620">
        <v>3</v>
      </c>
      <c r="M620">
        <v>1</v>
      </c>
      <c r="N620">
        <v>10</v>
      </c>
      <c r="O620">
        <v>794</v>
      </c>
      <c r="P620">
        <v>3176</v>
      </c>
      <c r="Q620" t="s">
        <v>936</v>
      </c>
    </row>
    <row r="621" spans="1:17" x14ac:dyDescent="0.3">
      <c r="A621">
        <v>360</v>
      </c>
      <c r="B621" t="s">
        <v>593</v>
      </c>
      <c r="C621">
        <v>41</v>
      </c>
      <c r="D621">
        <v>1</v>
      </c>
      <c r="E621" s="2">
        <v>45236</v>
      </c>
      <c r="F621" s="3">
        <v>0.1332986111111111</v>
      </c>
      <c r="G621" s="2">
        <v>45239</v>
      </c>
      <c r="H621" s="3">
        <v>0.73994212962962957</v>
      </c>
      <c r="I621" t="s">
        <v>732</v>
      </c>
      <c r="J621" t="s">
        <v>619</v>
      </c>
      <c r="K621" t="s">
        <v>705</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619</v>
      </c>
      <c r="K622" t="s">
        <v>705</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619</v>
      </c>
      <c r="K623" t="s">
        <v>705</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619</v>
      </c>
      <c r="K624" t="s">
        <v>705</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619</v>
      </c>
      <c r="K625" t="s">
        <v>705</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619</v>
      </c>
      <c r="K626" t="s">
        <v>705</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831</v>
      </c>
      <c r="J627" t="s">
        <v>619</v>
      </c>
      <c r="K627" t="s">
        <v>705</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833</v>
      </c>
      <c r="J628" t="s">
        <v>619</v>
      </c>
      <c r="K628" t="s">
        <v>705</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836</v>
      </c>
      <c r="J629" t="s">
        <v>619</v>
      </c>
      <c r="K629" t="s">
        <v>705</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801</v>
      </c>
      <c r="J630" t="s">
        <v>619</v>
      </c>
      <c r="K630" t="s">
        <v>705</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780</v>
      </c>
      <c r="J631" t="s">
        <v>619</v>
      </c>
      <c r="K631" t="s">
        <v>705</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619</v>
      </c>
      <c r="K632" t="s">
        <v>705</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845</v>
      </c>
      <c r="J633" t="s">
        <v>619</v>
      </c>
      <c r="K633" t="s">
        <v>705</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619</v>
      </c>
      <c r="K634" t="s">
        <v>705</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619</v>
      </c>
      <c r="K635" t="s">
        <v>705</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619</v>
      </c>
      <c r="K636" t="s">
        <v>705</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884</v>
      </c>
      <c r="J637" t="s">
        <v>619</v>
      </c>
      <c r="K637" t="s">
        <v>705</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763</v>
      </c>
      <c r="J638" t="s">
        <v>619</v>
      </c>
      <c r="K638" t="s">
        <v>705</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600</v>
      </c>
      <c r="J639" t="s">
        <v>619</v>
      </c>
      <c r="K639" t="s">
        <v>705</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805</v>
      </c>
      <c r="J640" t="s">
        <v>619</v>
      </c>
      <c r="K640" t="s">
        <v>705</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890</v>
      </c>
      <c r="J641" t="s">
        <v>619</v>
      </c>
      <c r="K641" t="s">
        <v>705</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805</v>
      </c>
      <c r="J642" t="s">
        <v>619</v>
      </c>
      <c r="K642" t="s">
        <v>705</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725</v>
      </c>
      <c r="J643" t="s">
        <v>619</v>
      </c>
      <c r="K643" t="s">
        <v>705</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748</v>
      </c>
      <c r="J644" t="s">
        <v>619</v>
      </c>
      <c r="K644" t="s">
        <v>705</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826</v>
      </c>
      <c r="J645" t="s">
        <v>619</v>
      </c>
      <c r="K645" t="s">
        <v>705</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837</v>
      </c>
      <c r="J646" t="s">
        <v>619</v>
      </c>
      <c r="K646" t="s">
        <v>705</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873</v>
      </c>
      <c r="J647" t="s">
        <v>619</v>
      </c>
      <c r="K647" t="s">
        <v>705</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756</v>
      </c>
      <c r="J648" t="s">
        <v>619</v>
      </c>
      <c r="K648" t="s">
        <v>705</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916</v>
      </c>
      <c r="J649" t="s">
        <v>619</v>
      </c>
      <c r="K649" t="s">
        <v>705</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826</v>
      </c>
      <c r="J650" t="s">
        <v>619</v>
      </c>
      <c r="K650" t="s">
        <v>705</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868</v>
      </c>
      <c r="J651" t="s">
        <v>619</v>
      </c>
      <c r="K651" t="s">
        <v>705</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851</v>
      </c>
      <c r="J652" t="s">
        <v>619</v>
      </c>
      <c r="K652" t="s">
        <v>705</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886</v>
      </c>
      <c r="J653" t="s">
        <v>619</v>
      </c>
      <c r="K653" t="s">
        <v>705</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619</v>
      </c>
      <c r="K654" t="s">
        <v>705</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619</v>
      </c>
      <c r="K655" t="s">
        <v>705</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619</v>
      </c>
      <c r="K656" t="s">
        <v>705</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853</v>
      </c>
      <c r="J657" t="s">
        <v>619</v>
      </c>
      <c r="K657" t="s">
        <v>705</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743</v>
      </c>
      <c r="J658" t="s">
        <v>619</v>
      </c>
      <c r="K658" t="s">
        <v>705</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727</v>
      </c>
      <c r="J659" t="s">
        <v>619</v>
      </c>
      <c r="K659" t="s">
        <v>705</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837</v>
      </c>
      <c r="J660" t="s">
        <v>619</v>
      </c>
      <c r="K660" t="s">
        <v>705</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745</v>
      </c>
      <c r="J661" t="s">
        <v>619</v>
      </c>
      <c r="K661" t="s">
        <v>705</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619</v>
      </c>
      <c r="K662" t="s">
        <v>705</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731</v>
      </c>
      <c r="J663" t="s">
        <v>619</v>
      </c>
      <c r="K663" t="s">
        <v>705</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559</v>
      </c>
      <c r="J664" t="s">
        <v>619</v>
      </c>
      <c r="K664" t="s">
        <v>705</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816</v>
      </c>
      <c r="J665" t="s">
        <v>619</v>
      </c>
      <c r="K665" t="s">
        <v>705</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774</v>
      </c>
      <c r="J666" t="s">
        <v>619</v>
      </c>
      <c r="K666" t="s">
        <v>705</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873</v>
      </c>
      <c r="J667" t="s">
        <v>619</v>
      </c>
      <c r="K667" t="s">
        <v>705</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761</v>
      </c>
      <c r="J668" t="s">
        <v>619</v>
      </c>
      <c r="K668" t="s">
        <v>705</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821</v>
      </c>
      <c r="J669" t="s">
        <v>619</v>
      </c>
      <c r="K669" t="s">
        <v>705</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619</v>
      </c>
      <c r="K670" t="s">
        <v>705</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916</v>
      </c>
      <c r="J671" t="s">
        <v>619</v>
      </c>
      <c r="K671" t="s">
        <v>705</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619</v>
      </c>
      <c r="K672" t="s">
        <v>705</v>
      </c>
      <c r="L672">
        <v>16</v>
      </c>
      <c r="M672">
        <v>9</v>
      </c>
      <c r="N672">
        <v>16</v>
      </c>
      <c r="O672">
        <v>1199</v>
      </c>
      <c r="P672">
        <v>2398</v>
      </c>
      <c r="Q672" t="s">
        <v>938</v>
      </c>
    </row>
    <row r="673" spans="1:17" x14ac:dyDescent="0.3">
      <c r="A673">
        <v>927</v>
      </c>
      <c r="B673" t="s">
        <v>598</v>
      </c>
      <c r="C673">
        <v>43</v>
      </c>
      <c r="D673">
        <v>4</v>
      </c>
      <c r="E673" s="2">
        <v>45233</v>
      </c>
      <c r="F673" s="3">
        <v>0.27656249999999999</v>
      </c>
      <c r="G673" s="2">
        <v>45241</v>
      </c>
      <c r="H673" s="3">
        <v>0.20853009259259259</v>
      </c>
      <c r="I673" t="s">
        <v>799</v>
      </c>
      <c r="J673" t="s">
        <v>619</v>
      </c>
      <c r="K673" t="s">
        <v>705</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701</v>
      </c>
      <c r="J674" t="s">
        <v>619</v>
      </c>
      <c r="K674" t="s">
        <v>705</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847</v>
      </c>
      <c r="J675" t="s">
        <v>619</v>
      </c>
      <c r="K675" t="s">
        <v>705</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833</v>
      </c>
      <c r="J676" t="s">
        <v>619</v>
      </c>
      <c r="K676" t="s">
        <v>705</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903</v>
      </c>
      <c r="J677" t="s">
        <v>619</v>
      </c>
      <c r="K677" t="s">
        <v>705</v>
      </c>
      <c r="L677">
        <v>9</v>
      </c>
      <c r="M677">
        <v>5</v>
      </c>
      <c r="N677">
        <v>10</v>
      </c>
      <c r="O677">
        <v>1199</v>
      </c>
      <c r="P677">
        <v>3597</v>
      </c>
      <c r="Q677" t="s">
        <v>938</v>
      </c>
    </row>
    <row r="678" spans="1:17" x14ac:dyDescent="0.3">
      <c r="A678">
        <v>992</v>
      </c>
      <c r="B678" t="s">
        <v>546</v>
      </c>
      <c r="C678">
        <v>43</v>
      </c>
      <c r="D678">
        <v>3</v>
      </c>
      <c r="E678" s="2">
        <v>45232</v>
      </c>
      <c r="F678" s="3">
        <v>0.58962962962962961</v>
      </c>
      <c r="G678" s="2">
        <v>45233</v>
      </c>
      <c r="H678" s="3">
        <v>0.81434027777777773</v>
      </c>
      <c r="I678" t="s">
        <v>748</v>
      </c>
      <c r="J678" t="s">
        <v>619</v>
      </c>
      <c r="K678" t="s">
        <v>705</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847</v>
      </c>
      <c r="J679" t="s">
        <v>619</v>
      </c>
      <c r="K679" t="s">
        <v>705</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710</v>
      </c>
      <c r="J680" t="s">
        <v>611</v>
      </c>
      <c r="K680" t="s">
        <v>711</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611</v>
      </c>
      <c r="K681" t="s">
        <v>723</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744</v>
      </c>
      <c r="J682" t="s">
        <v>611</v>
      </c>
      <c r="K682" t="s">
        <v>703</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707</v>
      </c>
      <c r="J683" t="s">
        <v>611</v>
      </c>
      <c r="K683" t="s">
        <v>717</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745</v>
      </c>
      <c r="J684" t="s">
        <v>611</v>
      </c>
      <c r="K684" t="s">
        <v>746</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758</v>
      </c>
      <c r="J685" t="s">
        <v>611</v>
      </c>
      <c r="K685" t="s">
        <v>746</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760</v>
      </c>
      <c r="J686" t="s">
        <v>611</v>
      </c>
      <c r="K686" t="s">
        <v>741</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759</v>
      </c>
      <c r="J687" t="s">
        <v>611</v>
      </c>
      <c r="K687" t="s">
        <v>723</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762</v>
      </c>
      <c r="J688" t="s">
        <v>611</v>
      </c>
      <c r="K688" t="s">
        <v>741</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712</v>
      </c>
      <c r="J689" t="s">
        <v>611</v>
      </c>
      <c r="K689" t="s">
        <v>729</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773</v>
      </c>
      <c r="J690" t="s">
        <v>611</v>
      </c>
      <c r="K690" t="s">
        <v>717</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611</v>
      </c>
      <c r="K691" t="s">
        <v>711</v>
      </c>
      <c r="L691">
        <v>1</v>
      </c>
      <c r="M691">
        <v>7</v>
      </c>
      <c r="N691">
        <v>0</v>
      </c>
      <c r="O691">
        <v>1084</v>
      </c>
      <c r="P691">
        <v>3252</v>
      </c>
      <c r="Q691" t="s">
        <v>938</v>
      </c>
    </row>
    <row r="692" spans="1:17" x14ac:dyDescent="0.3">
      <c r="A692">
        <v>144</v>
      </c>
      <c r="B692" t="s">
        <v>540</v>
      </c>
      <c r="C692">
        <v>51</v>
      </c>
      <c r="D692">
        <v>5</v>
      </c>
      <c r="E692" s="2">
        <v>44944</v>
      </c>
      <c r="F692" s="3">
        <v>0.37572916666666667</v>
      </c>
      <c r="G692" s="2">
        <v>44949</v>
      </c>
      <c r="H692" s="3">
        <v>0.14114583333333333</v>
      </c>
      <c r="I692" t="s">
        <v>795</v>
      </c>
      <c r="J692" t="s">
        <v>611</v>
      </c>
      <c r="K692" t="s">
        <v>741</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611</v>
      </c>
      <c r="K693" t="s">
        <v>738</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809</v>
      </c>
      <c r="J694" t="s">
        <v>611</v>
      </c>
      <c r="K694" t="s">
        <v>738</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611</v>
      </c>
      <c r="K695" t="s">
        <v>729</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611</v>
      </c>
      <c r="K696" t="s">
        <v>738</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824</v>
      </c>
      <c r="J697" t="s">
        <v>611</v>
      </c>
      <c r="K697" t="s">
        <v>746</v>
      </c>
      <c r="L697">
        <v>22</v>
      </c>
      <c r="M697">
        <v>3</v>
      </c>
      <c r="N697">
        <v>3</v>
      </c>
      <c r="O697">
        <v>1804</v>
      </c>
      <c r="P697">
        <v>7216</v>
      </c>
      <c r="Q697" t="s">
        <v>941</v>
      </c>
    </row>
    <row r="698" spans="1:17" x14ac:dyDescent="0.3">
      <c r="A698">
        <v>254</v>
      </c>
      <c r="B698" t="s">
        <v>557</v>
      </c>
      <c r="C698">
        <v>1</v>
      </c>
      <c r="D698">
        <v>5</v>
      </c>
      <c r="E698" s="2">
        <v>45114</v>
      </c>
      <c r="F698" s="3">
        <v>6.7592592592592591E-3</v>
      </c>
      <c r="G698" s="2">
        <v>45122</v>
      </c>
      <c r="H698" s="3">
        <v>0.22765046296296296</v>
      </c>
      <c r="I698" t="s">
        <v>478</v>
      </c>
      <c r="J698" t="s">
        <v>611</v>
      </c>
      <c r="K698" t="s">
        <v>703</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847</v>
      </c>
      <c r="J699" t="s">
        <v>611</v>
      </c>
      <c r="K699" t="s">
        <v>746</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851</v>
      </c>
      <c r="J700" t="s">
        <v>611</v>
      </c>
      <c r="K700" t="s">
        <v>729</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611</v>
      </c>
      <c r="K701" t="s">
        <v>729</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850</v>
      </c>
      <c r="J702" t="s">
        <v>611</v>
      </c>
      <c r="K702" t="s">
        <v>729</v>
      </c>
      <c r="L702">
        <v>9</v>
      </c>
      <c r="M702">
        <v>2</v>
      </c>
      <c r="N702">
        <v>20</v>
      </c>
      <c r="O702">
        <v>1084</v>
      </c>
      <c r="P702">
        <v>1084</v>
      </c>
      <c r="Q702" t="s">
        <v>939</v>
      </c>
    </row>
    <row r="703" spans="1:17" x14ac:dyDescent="0.3">
      <c r="A703">
        <v>351</v>
      </c>
      <c r="B703" t="s">
        <v>593</v>
      </c>
      <c r="C703">
        <v>1</v>
      </c>
      <c r="D703">
        <v>1</v>
      </c>
      <c r="E703" s="2">
        <v>44942</v>
      </c>
      <c r="F703" s="3">
        <v>0.63271990740740736</v>
      </c>
      <c r="G703" s="2">
        <v>44951</v>
      </c>
      <c r="H703" s="3">
        <v>0.93748842592592596</v>
      </c>
      <c r="I703" t="s">
        <v>478</v>
      </c>
      <c r="J703" t="s">
        <v>611</v>
      </c>
      <c r="K703" t="s">
        <v>741</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611</v>
      </c>
      <c r="K704" t="s">
        <v>746</v>
      </c>
      <c r="L704">
        <v>20</v>
      </c>
      <c r="M704">
        <v>3</v>
      </c>
      <c r="N704">
        <v>23</v>
      </c>
      <c r="O704">
        <v>1895</v>
      </c>
      <c r="P704">
        <v>3790</v>
      </c>
      <c r="Q704" t="s">
        <v>937</v>
      </c>
    </row>
    <row r="705" spans="1:17" x14ac:dyDescent="0.3">
      <c r="A705">
        <v>386</v>
      </c>
      <c r="B705" t="s">
        <v>546</v>
      </c>
      <c r="C705">
        <v>5</v>
      </c>
      <c r="D705">
        <v>4</v>
      </c>
      <c r="E705" s="2">
        <v>45081</v>
      </c>
      <c r="F705" s="3">
        <v>0.53315972222222219</v>
      </c>
      <c r="G705" s="2">
        <v>45091</v>
      </c>
      <c r="H705" s="3">
        <v>0.89908564814814818</v>
      </c>
      <c r="I705" t="s">
        <v>825</v>
      </c>
      <c r="J705" t="s">
        <v>611</v>
      </c>
      <c r="K705" t="s">
        <v>746</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749</v>
      </c>
      <c r="J706" t="s">
        <v>611</v>
      </c>
      <c r="K706" t="s">
        <v>723</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816</v>
      </c>
      <c r="J707" t="s">
        <v>611</v>
      </c>
      <c r="K707" t="s">
        <v>711</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761</v>
      </c>
      <c r="J708" t="s">
        <v>611</v>
      </c>
      <c r="K708" t="s">
        <v>711</v>
      </c>
      <c r="L708">
        <v>19</v>
      </c>
      <c r="M708">
        <v>6</v>
      </c>
      <c r="N708">
        <v>21</v>
      </c>
      <c r="O708">
        <v>1935</v>
      </c>
      <c r="P708">
        <v>7740</v>
      </c>
      <c r="Q708" t="s">
        <v>937</v>
      </c>
    </row>
    <row r="709" spans="1:17" x14ac:dyDescent="0.3">
      <c r="A709">
        <v>450</v>
      </c>
      <c r="B709" t="s">
        <v>575</v>
      </c>
      <c r="C709">
        <v>39</v>
      </c>
      <c r="D709">
        <v>5</v>
      </c>
      <c r="E709" s="2">
        <v>45262</v>
      </c>
      <c r="F709" s="3">
        <v>0.33200231481481479</v>
      </c>
      <c r="G709" s="2">
        <v>45272</v>
      </c>
      <c r="H709" s="3">
        <v>0.42358796296296297</v>
      </c>
      <c r="I709" t="s">
        <v>583</v>
      </c>
      <c r="J709" t="s">
        <v>611</v>
      </c>
      <c r="K709" t="s">
        <v>711</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874</v>
      </c>
      <c r="J710" t="s">
        <v>611</v>
      </c>
      <c r="K710" t="s">
        <v>738</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881</v>
      </c>
      <c r="J711" t="s">
        <v>611</v>
      </c>
      <c r="K711" t="s">
        <v>717</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885</v>
      </c>
      <c r="J712" t="s">
        <v>611</v>
      </c>
      <c r="K712" t="s">
        <v>703</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611</v>
      </c>
      <c r="K713" t="s">
        <v>711</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721</v>
      </c>
      <c r="J714" t="s">
        <v>611</v>
      </c>
      <c r="K714" t="s">
        <v>717</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611</v>
      </c>
      <c r="K715" t="s">
        <v>741</v>
      </c>
      <c r="L715">
        <v>16</v>
      </c>
      <c r="M715">
        <v>4</v>
      </c>
      <c r="N715">
        <v>4</v>
      </c>
      <c r="O715">
        <v>1084</v>
      </c>
      <c r="P715">
        <v>1084</v>
      </c>
      <c r="Q715" t="s">
        <v>942</v>
      </c>
    </row>
    <row r="716" spans="1:17" x14ac:dyDescent="0.3">
      <c r="A716">
        <v>502</v>
      </c>
      <c r="B716" t="s">
        <v>593</v>
      </c>
      <c r="C716">
        <v>22</v>
      </c>
      <c r="D716">
        <v>5</v>
      </c>
      <c r="E716" s="2">
        <v>45101</v>
      </c>
      <c r="F716" s="3">
        <v>0.23148148148148148</v>
      </c>
      <c r="G716" s="2">
        <v>45107</v>
      </c>
      <c r="H716" s="3">
        <v>3.8703703703703705E-2</v>
      </c>
      <c r="I716" t="s">
        <v>745</v>
      </c>
      <c r="J716" t="s">
        <v>611</v>
      </c>
      <c r="K716" t="s">
        <v>746</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611</v>
      </c>
      <c r="K717" t="s">
        <v>703</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838</v>
      </c>
      <c r="J718" t="s">
        <v>611</v>
      </c>
      <c r="K718" t="s">
        <v>738</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899</v>
      </c>
      <c r="J719" t="s">
        <v>611</v>
      </c>
      <c r="K719" t="s">
        <v>729</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851</v>
      </c>
      <c r="J720" t="s">
        <v>611</v>
      </c>
      <c r="K720" t="s">
        <v>717</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844</v>
      </c>
      <c r="J721" t="s">
        <v>611</v>
      </c>
      <c r="K721" t="s">
        <v>717</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611</v>
      </c>
      <c r="K722" t="s">
        <v>723</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611</v>
      </c>
      <c r="K723" t="s">
        <v>703</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908</v>
      </c>
      <c r="J724" t="s">
        <v>611</v>
      </c>
      <c r="K724" t="s">
        <v>741</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712</v>
      </c>
      <c r="J725" t="s">
        <v>611</v>
      </c>
      <c r="K725" t="s">
        <v>741</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910</v>
      </c>
      <c r="J726" t="s">
        <v>611</v>
      </c>
      <c r="K726" t="s">
        <v>703</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878</v>
      </c>
      <c r="J727" t="s">
        <v>611</v>
      </c>
      <c r="K727" t="s">
        <v>723</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707</v>
      </c>
      <c r="J728" t="s">
        <v>611</v>
      </c>
      <c r="K728" t="s">
        <v>741</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726</v>
      </c>
      <c r="J729" t="s">
        <v>611</v>
      </c>
      <c r="K729" t="s">
        <v>711</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801</v>
      </c>
      <c r="J730" t="s">
        <v>611</v>
      </c>
      <c r="K730" t="s">
        <v>729</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914</v>
      </c>
      <c r="J731" t="s">
        <v>611</v>
      </c>
      <c r="K731" t="s">
        <v>729</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748</v>
      </c>
      <c r="J732" t="s">
        <v>611</v>
      </c>
      <c r="K732" t="s">
        <v>746</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883</v>
      </c>
      <c r="J733" t="s">
        <v>611</v>
      </c>
      <c r="K733" t="s">
        <v>703</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918</v>
      </c>
      <c r="J734" t="s">
        <v>611</v>
      </c>
      <c r="K734" t="s">
        <v>746</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611</v>
      </c>
      <c r="K735" t="s">
        <v>711</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611</v>
      </c>
      <c r="K736" t="s">
        <v>723</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893</v>
      </c>
      <c r="J737" t="s">
        <v>611</v>
      </c>
      <c r="K737" t="s">
        <v>738</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884</v>
      </c>
      <c r="J738" t="s">
        <v>611</v>
      </c>
      <c r="K738" t="s">
        <v>703</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724</v>
      </c>
      <c r="J739" t="s">
        <v>611</v>
      </c>
      <c r="K739" t="s">
        <v>703</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611</v>
      </c>
      <c r="K740" t="s">
        <v>741</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815</v>
      </c>
      <c r="J741" t="s">
        <v>611</v>
      </c>
      <c r="K741" t="s">
        <v>746</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865</v>
      </c>
      <c r="J742" t="s">
        <v>611</v>
      </c>
      <c r="K742" t="s">
        <v>723</v>
      </c>
      <c r="L742">
        <v>5</v>
      </c>
      <c r="M742">
        <v>8</v>
      </c>
      <c r="N742">
        <v>19</v>
      </c>
      <c r="O742">
        <v>1639</v>
      </c>
      <c r="P742">
        <v>6556</v>
      </c>
      <c r="Q742" t="s">
        <v>941</v>
      </c>
    </row>
    <row r="743" spans="1:17" x14ac:dyDescent="0.3">
      <c r="A743">
        <v>791</v>
      </c>
      <c r="B743" t="s">
        <v>557</v>
      </c>
      <c r="C743">
        <v>51</v>
      </c>
      <c r="D743">
        <v>2</v>
      </c>
      <c r="E743" s="2">
        <v>45052</v>
      </c>
      <c r="F743" s="3">
        <v>0.1040625</v>
      </c>
      <c r="G743" s="2">
        <v>45055</v>
      </c>
      <c r="H743" s="3">
        <v>0.28736111111111112</v>
      </c>
      <c r="I743" t="s">
        <v>472</v>
      </c>
      <c r="J743" t="s">
        <v>611</v>
      </c>
      <c r="K743" t="s">
        <v>717</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923</v>
      </c>
      <c r="J744" t="s">
        <v>611</v>
      </c>
      <c r="K744" t="s">
        <v>711</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611</v>
      </c>
      <c r="K745" t="s">
        <v>738</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611</v>
      </c>
      <c r="K746" t="s">
        <v>729</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719</v>
      </c>
      <c r="J747" t="s">
        <v>611</v>
      </c>
      <c r="K747" t="s">
        <v>738</v>
      </c>
      <c r="L747">
        <v>19</v>
      </c>
      <c r="M747">
        <v>4</v>
      </c>
      <c r="N747">
        <v>18</v>
      </c>
      <c r="O747">
        <v>1744</v>
      </c>
      <c r="P747">
        <v>3488</v>
      </c>
      <c r="Q747" t="s">
        <v>941</v>
      </c>
    </row>
    <row r="748" spans="1:17" x14ac:dyDescent="0.3">
      <c r="A748">
        <v>887</v>
      </c>
      <c r="B748" t="s">
        <v>546</v>
      </c>
      <c r="C748">
        <v>51</v>
      </c>
      <c r="D748">
        <v>3</v>
      </c>
      <c r="E748" s="2">
        <v>45106</v>
      </c>
      <c r="F748" s="3">
        <v>0.72255787037037034</v>
      </c>
      <c r="G748" s="2">
        <v>45107</v>
      </c>
      <c r="H748" s="3">
        <v>0.41377314814814814</v>
      </c>
      <c r="I748" t="s">
        <v>923</v>
      </c>
      <c r="J748" t="s">
        <v>611</v>
      </c>
      <c r="K748" t="s">
        <v>746</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830</v>
      </c>
      <c r="J749" t="s">
        <v>611</v>
      </c>
      <c r="K749" t="s">
        <v>711</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892</v>
      </c>
      <c r="J750" t="s">
        <v>611</v>
      </c>
      <c r="K750" t="s">
        <v>729</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722</v>
      </c>
      <c r="J751" t="s">
        <v>611</v>
      </c>
      <c r="K751" t="s">
        <v>741</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611</v>
      </c>
      <c r="K752" t="s">
        <v>741</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823</v>
      </c>
      <c r="J753" t="s">
        <v>611</v>
      </c>
      <c r="K753" t="s">
        <v>738</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611</v>
      </c>
      <c r="K754" t="s">
        <v>711</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611</v>
      </c>
      <c r="K755" t="s">
        <v>738</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733</v>
      </c>
      <c r="J756" t="s">
        <v>611</v>
      </c>
      <c r="K756" t="s">
        <v>738</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611</v>
      </c>
      <c r="K757" t="s">
        <v>711</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792</v>
      </c>
      <c r="J758" t="s">
        <v>611</v>
      </c>
      <c r="K758" t="s">
        <v>711</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707</v>
      </c>
      <c r="J759" t="s">
        <v>630</v>
      </c>
      <c r="K759" t="s">
        <v>703</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708</v>
      </c>
      <c r="J760" t="s">
        <v>630</v>
      </c>
      <c r="K760" t="s">
        <v>703</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716</v>
      </c>
      <c r="J761" t="s">
        <v>630</v>
      </c>
      <c r="K761" t="s">
        <v>717</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728</v>
      </c>
      <c r="J762" t="s">
        <v>630</v>
      </c>
      <c r="K762" t="s">
        <v>729</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731</v>
      </c>
      <c r="J763" t="s">
        <v>630</v>
      </c>
      <c r="K763" t="s">
        <v>703</v>
      </c>
      <c r="L763">
        <v>17</v>
      </c>
      <c r="M763">
        <v>8</v>
      </c>
      <c r="N763">
        <v>21</v>
      </c>
      <c r="O763">
        <v>259</v>
      </c>
      <c r="P763">
        <v>518</v>
      </c>
      <c r="Q763" t="s">
        <v>942</v>
      </c>
    </row>
    <row r="764" spans="1:17" x14ac:dyDescent="0.3">
      <c r="A764">
        <v>12</v>
      </c>
      <c r="B764" t="s">
        <v>581</v>
      </c>
      <c r="C764">
        <v>38</v>
      </c>
      <c r="D764">
        <v>3</v>
      </c>
      <c r="E764" s="2">
        <v>45119</v>
      </c>
      <c r="F764" s="3">
        <v>0.35342592592592592</v>
      </c>
      <c r="G764" s="2">
        <v>45127</v>
      </c>
      <c r="H764" s="3">
        <v>0.98260416666666661</v>
      </c>
      <c r="I764" t="s">
        <v>726</v>
      </c>
      <c r="J764" t="s">
        <v>630</v>
      </c>
      <c r="K764" t="s">
        <v>703</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751</v>
      </c>
      <c r="J765" t="s">
        <v>630</v>
      </c>
      <c r="K765" t="s">
        <v>741</v>
      </c>
      <c r="L765">
        <v>2</v>
      </c>
      <c r="M765">
        <v>9</v>
      </c>
      <c r="N765">
        <v>8</v>
      </c>
      <c r="O765">
        <v>203</v>
      </c>
      <c r="P765">
        <v>203</v>
      </c>
      <c r="Q765" t="s">
        <v>938</v>
      </c>
    </row>
    <row r="766" spans="1:17" x14ac:dyDescent="0.3">
      <c r="A766">
        <v>92</v>
      </c>
      <c r="B766" t="s">
        <v>598</v>
      </c>
      <c r="C766">
        <v>18</v>
      </c>
      <c r="D766">
        <v>5</v>
      </c>
      <c r="E766" s="2">
        <v>45061</v>
      </c>
      <c r="F766" s="3">
        <v>7.8472222222222224E-3</v>
      </c>
      <c r="G766" s="2">
        <v>45071</v>
      </c>
      <c r="H766" s="3">
        <v>0.47077546296296297</v>
      </c>
      <c r="I766" t="s">
        <v>769</v>
      </c>
      <c r="J766" t="s">
        <v>630</v>
      </c>
      <c r="K766" t="s">
        <v>717</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571</v>
      </c>
      <c r="J767" t="s">
        <v>630</v>
      </c>
      <c r="K767" t="s">
        <v>717</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770</v>
      </c>
      <c r="J768" t="s">
        <v>630</v>
      </c>
      <c r="K768" t="s">
        <v>717</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732</v>
      </c>
      <c r="J769" t="s">
        <v>630</v>
      </c>
      <c r="K769" t="s">
        <v>746</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774</v>
      </c>
      <c r="J770" t="s">
        <v>630</v>
      </c>
      <c r="K770" t="s">
        <v>738</v>
      </c>
      <c r="L770">
        <v>19</v>
      </c>
      <c r="M770">
        <v>9</v>
      </c>
      <c r="N770">
        <v>7</v>
      </c>
      <c r="O770">
        <v>259</v>
      </c>
      <c r="P770">
        <v>777</v>
      </c>
      <c r="Q770" t="s">
        <v>936</v>
      </c>
    </row>
    <row r="771" spans="1:17" x14ac:dyDescent="0.3">
      <c r="A771">
        <v>115</v>
      </c>
      <c r="B771" t="s">
        <v>569</v>
      </c>
      <c r="C771">
        <v>57</v>
      </c>
      <c r="D771">
        <v>1</v>
      </c>
      <c r="E771" s="2">
        <v>45044</v>
      </c>
      <c r="F771" s="3">
        <v>0.75789351851851849</v>
      </c>
      <c r="G771" s="2">
        <v>45051</v>
      </c>
      <c r="H771" s="3">
        <v>0.48369212962962965</v>
      </c>
      <c r="I771" t="s">
        <v>781</v>
      </c>
      <c r="J771" t="s">
        <v>630</v>
      </c>
      <c r="K771" t="s">
        <v>723</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786</v>
      </c>
      <c r="J772" t="s">
        <v>630</v>
      </c>
      <c r="K772" t="s">
        <v>738</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630</v>
      </c>
      <c r="K773" t="s">
        <v>741</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710</v>
      </c>
      <c r="J774" t="s">
        <v>630</v>
      </c>
      <c r="K774" t="s">
        <v>723</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799</v>
      </c>
      <c r="J775" t="s">
        <v>630</v>
      </c>
      <c r="K775" t="s">
        <v>711</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740</v>
      </c>
      <c r="J776" t="s">
        <v>630</v>
      </c>
      <c r="K776" t="s">
        <v>746</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630</v>
      </c>
      <c r="K777" t="s">
        <v>723</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630</v>
      </c>
      <c r="K778" t="s">
        <v>717</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813</v>
      </c>
      <c r="J779" t="s">
        <v>630</v>
      </c>
      <c r="K779" t="s">
        <v>738</v>
      </c>
      <c r="L779">
        <v>18</v>
      </c>
      <c r="M779">
        <v>5</v>
      </c>
      <c r="N779">
        <v>8</v>
      </c>
      <c r="O779">
        <v>535</v>
      </c>
      <c r="P779">
        <v>1605</v>
      </c>
      <c r="Q779" t="s">
        <v>942</v>
      </c>
    </row>
    <row r="780" spans="1:17" x14ac:dyDescent="0.3">
      <c r="A780">
        <v>202</v>
      </c>
      <c r="B780" t="s">
        <v>534</v>
      </c>
      <c r="C780">
        <v>36</v>
      </c>
      <c r="D780">
        <v>5</v>
      </c>
      <c r="E780" s="2">
        <v>45134</v>
      </c>
      <c r="F780" s="3">
        <v>0.34291666666666665</v>
      </c>
      <c r="G780" s="2">
        <v>45139</v>
      </c>
      <c r="H780" s="3">
        <v>0.12640046296296295</v>
      </c>
      <c r="I780" t="s">
        <v>818</v>
      </c>
      <c r="J780" t="s">
        <v>630</v>
      </c>
      <c r="K780" t="s">
        <v>703</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704</v>
      </c>
      <c r="J781" t="s">
        <v>630</v>
      </c>
      <c r="K781" t="s">
        <v>703</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820</v>
      </c>
      <c r="J782" t="s">
        <v>630</v>
      </c>
      <c r="K782" t="s">
        <v>723</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821</v>
      </c>
      <c r="J783" t="s">
        <v>630</v>
      </c>
      <c r="K783" t="s">
        <v>746</v>
      </c>
      <c r="L783">
        <v>0</v>
      </c>
      <c r="M783">
        <v>1</v>
      </c>
      <c r="N783">
        <v>21</v>
      </c>
      <c r="O783">
        <v>866</v>
      </c>
      <c r="P783">
        <v>1732</v>
      </c>
      <c r="Q783" t="s">
        <v>942</v>
      </c>
    </row>
    <row r="784" spans="1:17" x14ac:dyDescent="0.3">
      <c r="A784">
        <v>210</v>
      </c>
      <c r="B784" t="s">
        <v>569</v>
      </c>
      <c r="C784">
        <v>32</v>
      </c>
      <c r="D784">
        <v>4</v>
      </c>
      <c r="E784" s="2">
        <v>45270</v>
      </c>
      <c r="F784" s="3">
        <v>3.2314814814814817E-2</v>
      </c>
      <c r="G784" s="2">
        <v>45275</v>
      </c>
      <c r="H784" s="3">
        <v>0.33512731481481484</v>
      </c>
      <c r="I784" t="s">
        <v>455</v>
      </c>
      <c r="J784" t="s">
        <v>630</v>
      </c>
      <c r="K784" t="s">
        <v>711</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724</v>
      </c>
      <c r="J785" t="s">
        <v>630</v>
      </c>
      <c r="K785" t="s">
        <v>729</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630</v>
      </c>
      <c r="K786" t="s">
        <v>711</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816</v>
      </c>
      <c r="J787" t="s">
        <v>630</v>
      </c>
      <c r="K787" t="s">
        <v>729</v>
      </c>
      <c r="L787">
        <v>22</v>
      </c>
      <c r="M787">
        <v>9</v>
      </c>
      <c r="N787">
        <v>23</v>
      </c>
      <c r="O787">
        <v>1915</v>
      </c>
      <c r="P787">
        <v>3830</v>
      </c>
      <c r="Q787" t="s">
        <v>939</v>
      </c>
    </row>
    <row r="788" spans="1:17" x14ac:dyDescent="0.3">
      <c r="A788">
        <v>255</v>
      </c>
      <c r="B788" t="s">
        <v>552</v>
      </c>
      <c r="C788">
        <v>45</v>
      </c>
      <c r="D788">
        <v>2</v>
      </c>
      <c r="E788" s="2">
        <v>45287</v>
      </c>
      <c r="F788" s="3">
        <v>0.15457175925925926</v>
      </c>
      <c r="G788" s="2">
        <v>45297</v>
      </c>
      <c r="H788" s="3">
        <v>0.39113425925925926</v>
      </c>
      <c r="I788" t="s">
        <v>828</v>
      </c>
      <c r="J788" t="s">
        <v>630</v>
      </c>
      <c r="K788" t="s">
        <v>711</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841</v>
      </c>
      <c r="J789" t="s">
        <v>630</v>
      </c>
      <c r="K789" t="s">
        <v>717</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843</v>
      </c>
      <c r="J790" t="s">
        <v>630</v>
      </c>
      <c r="K790" t="s">
        <v>738</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844</v>
      </c>
      <c r="J791" t="s">
        <v>630</v>
      </c>
      <c r="K791" t="s">
        <v>746</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852</v>
      </c>
      <c r="J792" t="s">
        <v>630</v>
      </c>
      <c r="K792" t="s">
        <v>717</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840</v>
      </c>
      <c r="J793" t="s">
        <v>630</v>
      </c>
      <c r="K793" t="s">
        <v>723</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835</v>
      </c>
      <c r="J794" t="s">
        <v>630</v>
      </c>
      <c r="K794" t="s">
        <v>717</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630</v>
      </c>
      <c r="K795" t="s">
        <v>703</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854</v>
      </c>
      <c r="J796" t="s">
        <v>630</v>
      </c>
      <c r="K796" t="s">
        <v>729</v>
      </c>
      <c r="L796">
        <v>15</v>
      </c>
      <c r="M796">
        <v>8</v>
      </c>
      <c r="N796">
        <v>23</v>
      </c>
      <c r="O796">
        <v>722</v>
      </c>
      <c r="P796">
        <v>2888</v>
      </c>
      <c r="Q796" t="s">
        <v>938</v>
      </c>
    </row>
    <row r="797" spans="1:17" x14ac:dyDescent="0.3">
      <c r="A797">
        <v>355</v>
      </c>
      <c r="B797" t="s">
        <v>593</v>
      </c>
      <c r="C797">
        <v>10</v>
      </c>
      <c r="D797">
        <v>1</v>
      </c>
      <c r="E797" s="2">
        <v>45284</v>
      </c>
      <c r="F797" s="3">
        <v>0.20328703703703704</v>
      </c>
      <c r="G797" s="2">
        <v>45293</v>
      </c>
      <c r="H797" s="3">
        <v>0.40177083333333335</v>
      </c>
      <c r="I797" t="s">
        <v>368</v>
      </c>
      <c r="J797" t="s">
        <v>630</v>
      </c>
      <c r="K797" t="s">
        <v>711</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630</v>
      </c>
      <c r="K798" t="s">
        <v>703</v>
      </c>
      <c r="L798">
        <v>0</v>
      </c>
      <c r="M798">
        <v>1</v>
      </c>
      <c r="N798">
        <v>4</v>
      </c>
      <c r="O798">
        <v>1915</v>
      </c>
      <c r="P798">
        <v>1915</v>
      </c>
      <c r="Q798" t="s">
        <v>936</v>
      </c>
    </row>
    <row r="799" spans="1:17" x14ac:dyDescent="0.3">
      <c r="A799">
        <v>376</v>
      </c>
      <c r="B799" t="s">
        <v>581</v>
      </c>
      <c r="C799">
        <v>10</v>
      </c>
      <c r="D799">
        <v>2</v>
      </c>
      <c r="E799" s="2">
        <v>45060</v>
      </c>
      <c r="F799" s="3">
        <v>0.84620370370370368</v>
      </c>
      <c r="G799" s="2">
        <v>45065</v>
      </c>
      <c r="H799" s="3">
        <v>0.99168981481481477</v>
      </c>
      <c r="I799" t="s">
        <v>26</v>
      </c>
      <c r="J799" t="s">
        <v>630</v>
      </c>
      <c r="K799" t="s">
        <v>717</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630</v>
      </c>
      <c r="K800" t="s">
        <v>746</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796</v>
      </c>
      <c r="J801" t="s">
        <v>630</v>
      </c>
      <c r="K801" t="s">
        <v>717</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871</v>
      </c>
      <c r="J802" t="s">
        <v>630</v>
      </c>
      <c r="K802" t="s">
        <v>741</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872</v>
      </c>
      <c r="J803" t="s">
        <v>630</v>
      </c>
      <c r="K803" t="s">
        <v>741</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821</v>
      </c>
      <c r="J804" t="s">
        <v>630</v>
      </c>
      <c r="K804" t="s">
        <v>746</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931</v>
      </c>
      <c r="J805" t="s">
        <v>630</v>
      </c>
      <c r="K805" t="s">
        <v>711</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768</v>
      </c>
      <c r="J806" t="s">
        <v>630</v>
      </c>
      <c r="K806" t="s">
        <v>703</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778</v>
      </c>
      <c r="J807" t="s">
        <v>630</v>
      </c>
      <c r="K807" t="s">
        <v>703</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883</v>
      </c>
      <c r="J808" t="s">
        <v>630</v>
      </c>
      <c r="K808" t="s">
        <v>729</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884</v>
      </c>
      <c r="J809" t="s">
        <v>630</v>
      </c>
      <c r="K809" t="s">
        <v>703</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857</v>
      </c>
      <c r="J810" t="s">
        <v>630</v>
      </c>
      <c r="K810" t="s">
        <v>703</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793</v>
      </c>
      <c r="J811" t="s">
        <v>630</v>
      </c>
      <c r="K811" t="s">
        <v>746</v>
      </c>
      <c r="L811">
        <v>13</v>
      </c>
      <c r="M811">
        <v>3</v>
      </c>
      <c r="N811">
        <v>1</v>
      </c>
      <c r="O811">
        <v>722</v>
      </c>
      <c r="P811">
        <v>2166</v>
      </c>
      <c r="Q811" t="s">
        <v>938</v>
      </c>
    </row>
    <row r="812" spans="1:17" x14ac:dyDescent="0.3">
      <c r="A812">
        <v>514</v>
      </c>
      <c r="B812" t="s">
        <v>540</v>
      </c>
      <c r="C812">
        <v>24</v>
      </c>
      <c r="D812">
        <v>1</v>
      </c>
      <c r="E812" s="2">
        <v>44927</v>
      </c>
      <c r="F812" s="3">
        <v>0.41400462962962964</v>
      </c>
      <c r="G812" s="2">
        <v>44935</v>
      </c>
      <c r="H812" s="3">
        <v>0.74782407407407403</v>
      </c>
      <c r="I812" t="s">
        <v>793</v>
      </c>
      <c r="J812" t="s">
        <v>630</v>
      </c>
      <c r="K812" t="s">
        <v>741</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896</v>
      </c>
      <c r="J813" t="s">
        <v>630</v>
      </c>
      <c r="K813" t="s">
        <v>738</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630</v>
      </c>
      <c r="K814" t="s">
        <v>723</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867</v>
      </c>
      <c r="J815" t="s">
        <v>630</v>
      </c>
      <c r="K815" t="s">
        <v>723</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630</v>
      </c>
      <c r="K816" t="s">
        <v>723</v>
      </c>
      <c r="L816">
        <v>7</v>
      </c>
      <c r="M816">
        <v>2</v>
      </c>
      <c r="N816">
        <v>17</v>
      </c>
      <c r="O816">
        <v>1915</v>
      </c>
      <c r="P816">
        <v>5745</v>
      </c>
      <c r="Q816" t="s">
        <v>941</v>
      </c>
    </row>
    <row r="817" spans="1:17" x14ac:dyDescent="0.3">
      <c r="A817">
        <v>538</v>
      </c>
      <c r="B817" t="s">
        <v>581</v>
      </c>
      <c r="C817">
        <v>24</v>
      </c>
      <c r="D817">
        <v>5</v>
      </c>
      <c r="E817" s="2">
        <v>45064</v>
      </c>
      <c r="F817" s="3">
        <v>0.54798611111111106</v>
      </c>
      <c r="G817" s="2">
        <v>45065</v>
      </c>
      <c r="H817" s="3">
        <v>0.94185185185185183</v>
      </c>
      <c r="I817" t="s">
        <v>868</v>
      </c>
      <c r="J817" t="s">
        <v>630</v>
      </c>
      <c r="K817" t="s">
        <v>717</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903</v>
      </c>
      <c r="J818" t="s">
        <v>630</v>
      </c>
      <c r="K818" t="s">
        <v>711</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630</v>
      </c>
      <c r="K819" t="s">
        <v>746</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571</v>
      </c>
      <c r="J820" t="s">
        <v>630</v>
      </c>
      <c r="K820" t="s">
        <v>703</v>
      </c>
      <c r="L820">
        <v>18</v>
      </c>
      <c r="M820">
        <v>6</v>
      </c>
      <c r="N820">
        <v>16</v>
      </c>
      <c r="O820">
        <v>781</v>
      </c>
      <c r="P820">
        <v>3124</v>
      </c>
      <c r="Q820" t="s">
        <v>940</v>
      </c>
    </row>
    <row r="821" spans="1:17" x14ac:dyDescent="0.3">
      <c r="A821">
        <v>580</v>
      </c>
      <c r="B821" t="s">
        <v>557</v>
      </c>
      <c r="C821">
        <v>24</v>
      </c>
      <c r="D821">
        <v>4</v>
      </c>
      <c r="E821" s="2">
        <v>45093</v>
      </c>
      <c r="F821" s="3">
        <v>0.91888888888888887</v>
      </c>
      <c r="G821" s="2">
        <v>45097</v>
      </c>
      <c r="H821" s="3">
        <v>0.51784722222222224</v>
      </c>
      <c r="I821" t="s">
        <v>218</v>
      </c>
      <c r="J821" t="s">
        <v>630</v>
      </c>
      <c r="K821" t="s">
        <v>746</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630</v>
      </c>
      <c r="K822" t="s">
        <v>703</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909</v>
      </c>
      <c r="J823" t="s">
        <v>630</v>
      </c>
      <c r="K823" t="s">
        <v>711</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799</v>
      </c>
      <c r="J824" t="s">
        <v>630</v>
      </c>
      <c r="K824" t="s">
        <v>723</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784</v>
      </c>
      <c r="J825" t="s">
        <v>630</v>
      </c>
      <c r="K825" t="s">
        <v>717</v>
      </c>
      <c r="L825">
        <v>6</v>
      </c>
      <c r="M825">
        <v>4</v>
      </c>
      <c r="N825">
        <v>13</v>
      </c>
      <c r="O825">
        <v>1582</v>
      </c>
      <c r="P825">
        <v>4746</v>
      </c>
      <c r="Q825" t="s">
        <v>939</v>
      </c>
    </row>
    <row r="826" spans="1:17" x14ac:dyDescent="0.3">
      <c r="A826">
        <v>639</v>
      </c>
      <c r="B826" t="s">
        <v>587</v>
      </c>
      <c r="C826">
        <v>24</v>
      </c>
      <c r="D826">
        <v>1</v>
      </c>
      <c r="E826" s="2">
        <v>45072</v>
      </c>
      <c r="F826" s="3">
        <v>0.10869212962962962</v>
      </c>
      <c r="G826" s="2">
        <v>45077</v>
      </c>
      <c r="H826" s="3">
        <v>0.13778935185185184</v>
      </c>
      <c r="I826" t="s">
        <v>911</v>
      </c>
      <c r="J826" t="s">
        <v>630</v>
      </c>
      <c r="K826" t="s">
        <v>717</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899</v>
      </c>
      <c r="J827" t="s">
        <v>630</v>
      </c>
      <c r="K827" t="s">
        <v>717</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821</v>
      </c>
      <c r="J828" t="s">
        <v>630</v>
      </c>
      <c r="K828" t="s">
        <v>741</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559</v>
      </c>
      <c r="J829" t="s">
        <v>630</v>
      </c>
      <c r="K829" t="s">
        <v>729</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630</v>
      </c>
      <c r="K830" t="s">
        <v>723</v>
      </c>
      <c r="L830">
        <v>5</v>
      </c>
      <c r="M830">
        <v>7</v>
      </c>
      <c r="N830">
        <v>16</v>
      </c>
      <c r="O830">
        <v>562</v>
      </c>
      <c r="P830">
        <v>2248</v>
      </c>
      <c r="Q830" t="s">
        <v>938</v>
      </c>
    </row>
    <row r="831" spans="1:17" x14ac:dyDescent="0.3">
      <c r="A831">
        <v>719</v>
      </c>
      <c r="B831" t="s">
        <v>552</v>
      </c>
      <c r="C831">
        <v>57</v>
      </c>
      <c r="D831">
        <v>3</v>
      </c>
      <c r="E831" s="2">
        <v>45119</v>
      </c>
      <c r="F831" s="3">
        <v>0.3228125</v>
      </c>
      <c r="G831" s="2">
        <v>45126</v>
      </c>
      <c r="H831" s="3">
        <v>7.7361111111111117E-2</v>
      </c>
      <c r="I831" t="s">
        <v>600</v>
      </c>
      <c r="J831" t="s">
        <v>630</v>
      </c>
      <c r="K831" t="s">
        <v>703</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733</v>
      </c>
      <c r="J832" t="s">
        <v>630</v>
      </c>
      <c r="K832" t="s">
        <v>723</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868</v>
      </c>
      <c r="J833" t="s">
        <v>630</v>
      </c>
      <c r="K833" t="s">
        <v>717</v>
      </c>
      <c r="L833">
        <v>3</v>
      </c>
      <c r="M833">
        <v>9</v>
      </c>
      <c r="N833">
        <v>4</v>
      </c>
      <c r="O833">
        <v>866</v>
      </c>
      <c r="P833">
        <v>4330</v>
      </c>
      <c r="Q833" t="s">
        <v>941</v>
      </c>
    </row>
    <row r="834" spans="1:17" x14ac:dyDescent="0.3">
      <c r="A834">
        <v>739</v>
      </c>
      <c r="B834" t="s">
        <v>563</v>
      </c>
      <c r="C834">
        <v>24</v>
      </c>
      <c r="D834">
        <v>5</v>
      </c>
      <c r="E834" s="2">
        <v>44956</v>
      </c>
      <c r="F834" s="3">
        <v>0.40543981481481484</v>
      </c>
      <c r="G834" s="2">
        <v>44960</v>
      </c>
      <c r="H834" s="3">
        <v>0.43996527777777777</v>
      </c>
      <c r="I834" t="s">
        <v>754</v>
      </c>
      <c r="J834" t="s">
        <v>630</v>
      </c>
      <c r="K834" t="s">
        <v>741</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831</v>
      </c>
      <c r="J835" t="s">
        <v>630</v>
      </c>
      <c r="K835" t="s">
        <v>738</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868</v>
      </c>
      <c r="J836" t="s">
        <v>630</v>
      </c>
      <c r="K836" t="s">
        <v>729</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727</v>
      </c>
      <c r="J837" t="s">
        <v>630</v>
      </c>
      <c r="K837" t="s">
        <v>723</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844</v>
      </c>
      <c r="J838" t="s">
        <v>630</v>
      </c>
      <c r="K838" t="s">
        <v>738</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630</v>
      </c>
      <c r="K839" t="s">
        <v>746</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816</v>
      </c>
      <c r="J840" t="s">
        <v>630</v>
      </c>
      <c r="K840" t="s">
        <v>746</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548</v>
      </c>
      <c r="J841" t="s">
        <v>630</v>
      </c>
      <c r="K841" t="s">
        <v>711</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854</v>
      </c>
      <c r="J842" t="s">
        <v>630</v>
      </c>
      <c r="K842" t="s">
        <v>738</v>
      </c>
      <c r="L842">
        <v>12</v>
      </c>
      <c r="M842">
        <v>7</v>
      </c>
      <c r="N842">
        <v>21</v>
      </c>
      <c r="O842">
        <v>1915</v>
      </c>
      <c r="P842">
        <v>9575</v>
      </c>
      <c r="Q842" t="s">
        <v>937</v>
      </c>
    </row>
    <row r="843" spans="1:17" x14ac:dyDescent="0.3">
      <c r="A843">
        <v>813</v>
      </c>
      <c r="B843" t="s">
        <v>563</v>
      </c>
      <c r="C843">
        <v>32</v>
      </c>
      <c r="D843">
        <v>4</v>
      </c>
      <c r="E843" s="2">
        <v>44945</v>
      </c>
      <c r="F843" s="3">
        <v>0.37063657407407408</v>
      </c>
      <c r="G843" s="2">
        <v>44949</v>
      </c>
      <c r="H843" s="3">
        <v>0.91737268518518522</v>
      </c>
      <c r="I843" t="s">
        <v>925</v>
      </c>
      <c r="J843" t="s">
        <v>630</v>
      </c>
      <c r="K843" t="s">
        <v>741</v>
      </c>
      <c r="L843">
        <v>8</v>
      </c>
      <c r="M843">
        <v>4</v>
      </c>
      <c r="N843">
        <v>22</v>
      </c>
      <c r="O843">
        <v>1792</v>
      </c>
      <c r="P843">
        <v>7168</v>
      </c>
      <c r="Q843" t="s">
        <v>942</v>
      </c>
    </row>
    <row r="844" spans="1:17" x14ac:dyDescent="0.3">
      <c r="A844">
        <v>835</v>
      </c>
      <c r="B844" t="s">
        <v>534</v>
      </c>
      <c r="C844">
        <v>32</v>
      </c>
      <c r="D844">
        <v>2</v>
      </c>
      <c r="E844" s="2">
        <v>45112</v>
      </c>
      <c r="F844" s="3">
        <v>0.73325231481481479</v>
      </c>
      <c r="G844" s="2">
        <v>45113</v>
      </c>
      <c r="H844" s="3">
        <v>0.98207175925925927</v>
      </c>
      <c r="I844" t="s">
        <v>589</v>
      </c>
      <c r="J844" t="s">
        <v>630</v>
      </c>
      <c r="K844" t="s">
        <v>703</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843</v>
      </c>
      <c r="J845" t="s">
        <v>630</v>
      </c>
      <c r="K845" t="s">
        <v>711</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724</v>
      </c>
      <c r="J846" t="s">
        <v>630</v>
      </c>
      <c r="K846" t="s">
        <v>738</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910</v>
      </c>
      <c r="J847" t="s">
        <v>630</v>
      </c>
      <c r="K847" t="s">
        <v>741</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767</v>
      </c>
      <c r="J848" t="s">
        <v>630</v>
      </c>
      <c r="K848" t="s">
        <v>703</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889</v>
      </c>
      <c r="J849" t="s">
        <v>630</v>
      </c>
      <c r="K849" t="s">
        <v>723</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776</v>
      </c>
      <c r="J850" t="s">
        <v>630</v>
      </c>
      <c r="K850" t="s">
        <v>746</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768</v>
      </c>
      <c r="J851" t="s">
        <v>630</v>
      </c>
      <c r="K851" t="s">
        <v>723</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630</v>
      </c>
      <c r="K852" t="s">
        <v>741</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800</v>
      </c>
      <c r="J853" t="s">
        <v>630</v>
      </c>
      <c r="K853" t="s">
        <v>717</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843</v>
      </c>
      <c r="J854" t="s">
        <v>630</v>
      </c>
      <c r="K854" t="s">
        <v>703</v>
      </c>
      <c r="L854">
        <v>12</v>
      </c>
      <c r="M854">
        <v>7</v>
      </c>
      <c r="N854">
        <v>12</v>
      </c>
      <c r="O854">
        <v>781</v>
      </c>
      <c r="P854">
        <v>1562</v>
      </c>
      <c r="Q854" t="s">
        <v>939</v>
      </c>
    </row>
    <row r="855" spans="1:17" x14ac:dyDescent="0.3">
      <c r="A855">
        <v>947</v>
      </c>
      <c r="B855" t="s">
        <v>598</v>
      </c>
      <c r="C855">
        <v>38</v>
      </c>
      <c r="D855">
        <v>3</v>
      </c>
      <c r="E855" s="2">
        <v>45205</v>
      </c>
      <c r="F855" s="3">
        <v>0.80299768518518522</v>
      </c>
      <c r="G855" s="2">
        <v>45207</v>
      </c>
      <c r="H855" s="3">
        <v>0.97554398148148147</v>
      </c>
      <c r="I855" t="s">
        <v>833</v>
      </c>
      <c r="J855" t="s">
        <v>630</v>
      </c>
      <c r="K855" t="s">
        <v>738</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630</v>
      </c>
      <c r="K856" t="s">
        <v>746</v>
      </c>
      <c r="L856">
        <v>0</v>
      </c>
      <c r="M856">
        <v>4</v>
      </c>
      <c r="N856">
        <v>9</v>
      </c>
      <c r="O856">
        <v>535</v>
      </c>
      <c r="P856">
        <v>2140</v>
      </c>
      <c r="Q856" t="s">
        <v>936</v>
      </c>
    </row>
    <row r="857" spans="1:17" x14ac:dyDescent="0.3">
      <c r="A857">
        <v>964</v>
      </c>
      <c r="B857" t="s">
        <v>587</v>
      </c>
      <c r="C857">
        <v>32</v>
      </c>
      <c r="D857">
        <v>4</v>
      </c>
      <c r="E857" s="2">
        <v>45218</v>
      </c>
      <c r="F857" s="3">
        <v>0.27755787037037039</v>
      </c>
      <c r="G857" s="2">
        <v>45222</v>
      </c>
      <c r="H857" s="3">
        <v>0.93239583333333331</v>
      </c>
      <c r="I857" t="s">
        <v>834</v>
      </c>
      <c r="J857" t="s">
        <v>630</v>
      </c>
      <c r="K857" t="s">
        <v>738</v>
      </c>
      <c r="L857">
        <v>6</v>
      </c>
      <c r="M857">
        <v>4</v>
      </c>
      <c r="N857">
        <v>22</v>
      </c>
      <c r="O857">
        <v>1792</v>
      </c>
      <c r="P857">
        <v>7168</v>
      </c>
      <c r="Q857" t="s">
        <v>942</v>
      </c>
    </row>
    <row r="858" spans="1:17" x14ac:dyDescent="0.3">
      <c r="A858">
        <v>995</v>
      </c>
      <c r="B858" t="s">
        <v>534</v>
      </c>
      <c r="C858">
        <v>57</v>
      </c>
      <c r="D858">
        <v>2</v>
      </c>
      <c r="E858" s="2">
        <v>45127</v>
      </c>
      <c r="F858" s="3">
        <v>2.8217592592592593E-2</v>
      </c>
      <c r="G858" s="2">
        <v>45134</v>
      </c>
      <c r="H858" s="3">
        <v>0.48753472222222222</v>
      </c>
      <c r="I858" t="s">
        <v>850</v>
      </c>
      <c r="J858" t="s">
        <v>630</v>
      </c>
      <c r="K858" t="s">
        <v>703</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626</v>
      </c>
      <c r="K859" t="s">
        <v>703</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714</v>
      </c>
      <c r="J860" t="s">
        <v>626</v>
      </c>
      <c r="K860" t="s">
        <v>723</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733</v>
      </c>
      <c r="J861" t="s">
        <v>626</v>
      </c>
      <c r="K861" t="s">
        <v>717</v>
      </c>
      <c r="L861">
        <v>5</v>
      </c>
      <c r="M861">
        <v>1</v>
      </c>
      <c r="N861">
        <v>12</v>
      </c>
      <c r="O861">
        <v>672</v>
      </c>
      <c r="P861">
        <v>2016</v>
      </c>
      <c r="Q861" t="s">
        <v>938</v>
      </c>
    </row>
    <row r="862" spans="1:17" x14ac:dyDescent="0.3">
      <c r="A862">
        <v>69</v>
      </c>
      <c r="B862" t="s">
        <v>546</v>
      </c>
      <c r="C862">
        <v>12</v>
      </c>
      <c r="D862">
        <v>4</v>
      </c>
      <c r="E862" s="2">
        <v>45171</v>
      </c>
      <c r="F862" s="3">
        <v>0.80672453703703706</v>
      </c>
      <c r="G862" s="2">
        <v>45177</v>
      </c>
      <c r="H862" s="3">
        <v>0.3958564814814815</v>
      </c>
      <c r="I862" t="s">
        <v>437</v>
      </c>
      <c r="J862" t="s">
        <v>626</v>
      </c>
      <c r="K862" t="s">
        <v>729</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737</v>
      </c>
      <c r="J863" t="s">
        <v>626</v>
      </c>
      <c r="K863" t="s">
        <v>738</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739</v>
      </c>
      <c r="J864" t="s">
        <v>626</v>
      </c>
      <c r="K864" t="s">
        <v>729</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740</v>
      </c>
      <c r="J865" t="s">
        <v>626</v>
      </c>
      <c r="K865" t="s">
        <v>711</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626</v>
      </c>
      <c r="K866" t="s">
        <v>741</v>
      </c>
      <c r="L866">
        <v>9</v>
      </c>
      <c r="M866">
        <v>2</v>
      </c>
      <c r="N866">
        <v>13</v>
      </c>
      <c r="O866">
        <v>1098</v>
      </c>
      <c r="P866">
        <v>4392</v>
      </c>
      <c r="Q866" t="s">
        <v>938</v>
      </c>
    </row>
    <row r="867" spans="1:17" x14ac:dyDescent="0.3">
      <c r="A867">
        <v>25</v>
      </c>
      <c r="B867" t="s">
        <v>546</v>
      </c>
      <c r="C867">
        <v>30</v>
      </c>
      <c r="D867">
        <v>3</v>
      </c>
      <c r="E867" s="2">
        <v>45128</v>
      </c>
      <c r="F867" s="3">
        <v>0.44927083333333334</v>
      </c>
      <c r="G867" s="2">
        <v>45131</v>
      </c>
      <c r="H867" s="3">
        <v>0.60326388888888893</v>
      </c>
      <c r="I867" t="s">
        <v>747</v>
      </c>
      <c r="J867" t="s">
        <v>626</v>
      </c>
      <c r="K867" t="s">
        <v>703</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626</v>
      </c>
      <c r="K868" t="s">
        <v>723</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748</v>
      </c>
      <c r="J869" t="s">
        <v>626</v>
      </c>
      <c r="K869" t="s">
        <v>746</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753</v>
      </c>
      <c r="J870" t="s">
        <v>626</v>
      </c>
      <c r="K870" t="s">
        <v>746</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754</v>
      </c>
      <c r="J871" t="s">
        <v>626</v>
      </c>
      <c r="K871" t="s">
        <v>729</v>
      </c>
      <c r="L871">
        <v>13</v>
      </c>
      <c r="M871">
        <v>10</v>
      </c>
      <c r="N871">
        <v>6</v>
      </c>
      <c r="O871">
        <v>1236</v>
      </c>
      <c r="P871">
        <v>2472</v>
      </c>
      <c r="Q871" t="s">
        <v>938</v>
      </c>
    </row>
    <row r="872" spans="1:17" x14ac:dyDescent="0.3">
      <c r="A872">
        <v>45</v>
      </c>
      <c r="B872" t="s">
        <v>581</v>
      </c>
      <c r="C872">
        <v>61</v>
      </c>
      <c r="D872">
        <v>5</v>
      </c>
      <c r="E872" s="2">
        <v>45044</v>
      </c>
      <c r="F872" s="3">
        <v>0.60168981481481476</v>
      </c>
      <c r="G872" s="2">
        <v>45045</v>
      </c>
      <c r="H872" s="3">
        <v>0.2615277777777778</v>
      </c>
      <c r="I872" t="s">
        <v>757</v>
      </c>
      <c r="J872" t="s">
        <v>626</v>
      </c>
      <c r="K872" t="s">
        <v>723</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761</v>
      </c>
      <c r="J873" t="s">
        <v>626</v>
      </c>
      <c r="K873" t="s">
        <v>746</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765</v>
      </c>
      <c r="J874" t="s">
        <v>626</v>
      </c>
      <c r="K874" t="s">
        <v>711</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626</v>
      </c>
      <c r="K875" t="s">
        <v>738</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778</v>
      </c>
      <c r="J876" t="s">
        <v>626</v>
      </c>
      <c r="K876" t="s">
        <v>746</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626</v>
      </c>
      <c r="K877" t="s">
        <v>711</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787</v>
      </c>
      <c r="J878" t="s">
        <v>626</v>
      </c>
      <c r="K878" t="s">
        <v>703</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790</v>
      </c>
      <c r="J879" t="s">
        <v>626</v>
      </c>
      <c r="K879" t="s">
        <v>711</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626</v>
      </c>
      <c r="K880" t="s">
        <v>729</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792</v>
      </c>
      <c r="J881" t="s">
        <v>626</v>
      </c>
      <c r="K881" t="s">
        <v>717</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626</v>
      </c>
      <c r="K882" t="s">
        <v>738</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626</v>
      </c>
      <c r="K883" t="s">
        <v>717</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807</v>
      </c>
      <c r="J884" t="s">
        <v>626</v>
      </c>
      <c r="K884" t="s">
        <v>746</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728</v>
      </c>
      <c r="J885" t="s">
        <v>626</v>
      </c>
      <c r="K885" t="s">
        <v>717</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706</v>
      </c>
      <c r="J886" t="s">
        <v>626</v>
      </c>
      <c r="K886" t="s">
        <v>723</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730</v>
      </c>
      <c r="J887" t="s">
        <v>626</v>
      </c>
      <c r="K887" t="s">
        <v>741</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626</v>
      </c>
      <c r="K888" t="s">
        <v>703</v>
      </c>
      <c r="L888">
        <v>5</v>
      </c>
      <c r="M888">
        <v>3</v>
      </c>
      <c r="N888">
        <v>11</v>
      </c>
      <c r="O888">
        <v>758</v>
      </c>
      <c r="P888">
        <v>3790</v>
      </c>
      <c r="Q888" t="s">
        <v>942</v>
      </c>
    </row>
    <row r="889" spans="1:17" x14ac:dyDescent="0.3">
      <c r="A889">
        <v>215</v>
      </c>
      <c r="B889" t="s">
        <v>587</v>
      </c>
      <c r="C889">
        <v>17</v>
      </c>
      <c r="D889">
        <v>1</v>
      </c>
      <c r="E889" s="2">
        <v>45067</v>
      </c>
      <c r="F889" s="3">
        <v>0.16280092592592593</v>
      </c>
      <c r="G889" s="2">
        <v>45070</v>
      </c>
      <c r="H889" s="3">
        <v>0.52608796296296301</v>
      </c>
      <c r="I889" t="s">
        <v>742</v>
      </c>
      <c r="J889" t="s">
        <v>626</v>
      </c>
      <c r="K889" t="s">
        <v>717</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626</v>
      </c>
      <c r="K890" t="s">
        <v>738</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626</v>
      </c>
      <c r="K891" t="s">
        <v>729</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626</v>
      </c>
      <c r="K892" t="s">
        <v>729</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836</v>
      </c>
      <c r="J893" t="s">
        <v>626</v>
      </c>
      <c r="K893" t="s">
        <v>738</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797</v>
      </c>
      <c r="J894" t="s">
        <v>626</v>
      </c>
      <c r="K894" t="s">
        <v>723</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796</v>
      </c>
      <c r="J895" t="s">
        <v>626</v>
      </c>
      <c r="K895" t="s">
        <v>723</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846</v>
      </c>
      <c r="J896" t="s">
        <v>626</v>
      </c>
      <c r="K896" t="s">
        <v>717</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536</v>
      </c>
      <c r="J897" t="s">
        <v>626</v>
      </c>
      <c r="K897" t="s">
        <v>729</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782</v>
      </c>
      <c r="J898" t="s">
        <v>626</v>
      </c>
      <c r="K898" t="s">
        <v>729</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626</v>
      </c>
      <c r="K899" t="s">
        <v>738</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856</v>
      </c>
      <c r="J900" t="s">
        <v>626</v>
      </c>
      <c r="K900" t="s">
        <v>703</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861</v>
      </c>
      <c r="J901" t="s">
        <v>626</v>
      </c>
      <c r="K901" t="s">
        <v>723</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626</v>
      </c>
      <c r="K902" t="s">
        <v>723</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735</v>
      </c>
      <c r="J903" t="s">
        <v>626</v>
      </c>
      <c r="K903" t="s">
        <v>723</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712</v>
      </c>
      <c r="J904" t="s">
        <v>626</v>
      </c>
      <c r="K904" t="s">
        <v>729</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626</v>
      </c>
      <c r="K905" t="s">
        <v>746</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626</v>
      </c>
      <c r="K906" t="s">
        <v>703</v>
      </c>
      <c r="L906">
        <v>5</v>
      </c>
      <c r="M906">
        <v>4</v>
      </c>
      <c r="N906">
        <v>19</v>
      </c>
      <c r="O906">
        <v>1236</v>
      </c>
      <c r="P906">
        <v>2472</v>
      </c>
      <c r="Q906" t="s">
        <v>939</v>
      </c>
    </row>
    <row r="907" spans="1:17" x14ac:dyDescent="0.3">
      <c r="A907">
        <v>371</v>
      </c>
      <c r="B907" t="s">
        <v>540</v>
      </c>
      <c r="C907">
        <v>23</v>
      </c>
      <c r="D907">
        <v>4</v>
      </c>
      <c r="E907" s="2">
        <v>45061</v>
      </c>
      <c r="F907" s="3">
        <v>6.1087962962962962E-2</v>
      </c>
      <c r="G907" s="2">
        <v>45065</v>
      </c>
      <c r="H907" s="3">
        <v>0.43665509259259261</v>
      </c>
      <c r="I907" t="s">
        <v>236</v>
      </c>
      <c r="J907" t="s">
        <v>626</v>
      </c>
      <c r="K907" t="s">
        <v>717</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626</v>
      </c>
      <c r="K908" t="s">
        <v>741</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626</v>
      </c>
      <c r="K909" t="s">
        <v>717</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822</v>
      </c>
      <c r="J910" t="s">
        <v>626</v>
      </c>
      <c r="K910" t="s">
        <v>717</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626</v>
      </c>
      <c r="K911" t="s">
        <v>738</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626</v>
      </c>
      <c r="K912" t="s">
        <v>729</v>
      </c>
      <c r="L912">
        <v>0</v>
      </c>
      <c r="M912">
        <v>9</v>
      </c>
      <c r="N912">
        <v>22</v>
      </c>
      <c r="O912">
        <v>1272</v>
      </c>
      <c r="P912">
        <v>1272</v>
      </c>
      <c r="Q912" t="s">
        <v>936</v>
      </c>
    </row>
    <row r="913" spans="1:17" x14ac:dyDescent="0.3">
      <c r="A913">
        <v>432</v>
      </c>
      <c r="B913" t="s">
        <v>552</v>
      </c>
      <c r="C913">
        <v>12</v>
      </c>
      <c r="D913">
        <v>4</v>
      </c>
      <c r="E913" s="2">
        <v>44931</v>
      </c>
      <c r="F913" s="3">
        <v>0.50656250000000003</v>
      </c>
      <c r="G913" s="2">
        <v>44939</v>
      </c>
      <c r="H913" s="3">
        <v>0.81988425925925923</v>
      </c>
      <c r="I913" t="s">
        <v>847</v>
      </c>
      <c r="J913" t="s">
        <v>626</v>
      </c>
      <c r="K913" t="s">
        <v>741</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762</v>
      </c>
      <c r="J914" t="s">
        <v>626</v>
      </c>
      <c r="K914" t="s">
        <v>741</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626</v>
      </c>
      <c r="K915" t="s">
        <v>711</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726</v>
      </c>
      <c r="J916" t="s">
        <v>626</v>
      </c>
      <c r="K916" t="s">
        <v>746</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795</v>
      </c>
      <c r="J917" t="s">
        <v>626</v>
      </c>
      <c r="K917" t="s">
        <v>746</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759</v>
      </c>
      <c r="J918" t="s">
        <v>626</v>
      </c>
      <c r="K918" t="s">
        <v>738</v>
      </c>
      <c r="L918">
        <v>13</v>
      </c>
      <c r="M918">
        <v>8</v>
      </c>
      <c r="N918">
        <v>9</v>
      </c>
      <c r="O918">
        <v>1098</v>
      </c>
      <c r="P918">
        <v>1098</v>
      </c>
      <c r="Q918" t="s">
        <v>941</v>
      </c>
    </row>
    <row r="919" spans="1:17" x14ac:dyDescent="0.3">
      <c r="A919">
        <v>471</v>
      </c>
      <c r="B919" t="s">
        <v>552</v>
      </c>
      <c r="C919">
        <v>23</v>
      </c>
      <c r="D919">
        <v>2</v>
      </c>
      <c r="E919" s="2">
        <v>44957</v>
      </c>
      <c r="F919" s="3">
        <v>0.50626157407407413</v>
      </c>
      <c r="G919" s="2">
        <v>44967</v>
      </c>
      <c r="H919" s="3">
        <v>0.24312500000000001</v>
      </c>
      <c r="I919" t="s">
        <v>840</v>
      </c>
      <c r="J919" t="s">
        <v>626</v>
      </c>
      <c r="K919" t="s">
        <v>741</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735</v>
      </c>
      <c r="J920" t="s">
        <v>626</v>
      </c>
      <c r="K920" t="s">
        <v>711</v>
      </c>
      <c r="L920">
        <v>7</v>
      </c>
      <c r="M920">
        <v>6</v>
      </c>
      <c r="N920">
        <v>22</v>
      </c>
      <c r="O920">
        <v>1272</v>
      </c>
      <c r="P920">
        <v>1272</v>
      </c>
      <c r="Q920" t="s">
        <v>939</v>
      </c>
    </row>
    <row r="921" spans="1:17" x14ac:dyDescent="0.3">
      <c r="A921">
        <v>475</v>
      </c>
      <c r="B921" t="s">
        <v>593</v>
      </c>
      <c r="C921">
        <v>46</v>
      </c>
      <c r="D921">
        <v>2</v>
      </c>
      <c r="E921" s="2">
        <v>45264</v>
      </c>
      <c r="F921" s="3">
        <v>0.30651620370370369</v>
      </c>
      <c r="G921" s="2">
        <v>45268</v>
      </c>
      <c r="H921" s="3">
        <v>0.56414351851851852</v>
      </c>
      <c r="I921" t="s">
        <v>887</v>
      </c>
      <c r="J921" t="s">
        <v>626</v>
      </c>
      <c r="K921" t="s">
        <v>711</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740</v>
      </c>
      <c r="J922" t="s">
        <v>626</v>
      </c>
      <c r="K922" t="s">
        <v>729</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733</v>
      </c>
      <c r="J923" t="s">
        <v>626</v>
      </c>
      <c r="K923" t="s">
        <v>746</v>
      </c>
      <c r="L923">
        <v>20</v>
      </c>
      <c r="M923">
        <v>9</v>
      </c>
      <c r="N923">
        <v>20</v>
      </c>
      <c r="O923">
        <v>1098</v>
      </c>
      <c r="P923">
        <v>3294</v>
      </c>
      <c r="Q923" t="s">
        <v>940</v>
      </c>
    </row>
    <row r="924" spans="1:17" x14ac:dyDescent="0.3">
      <c r="A924">
        <v>491</v>
      </c>
      <c r="B924" t="s">
        <v>569</v>
      </c>
      <c r="C924">
        <v>30</v>
      </c>
      <c r="D924">
        <v>1</v>
      </c>
      <c r="E924" s="2">
        <v>45223</v>
      </c>
      <c r="F924" s="3">
        <v>0.26011574074074073</v>
      </c>
      <c r="G924" s="2">
        <v>45232</v>
      </c>
      <c r="H924" s="3">
        <v>0.95787037037037037</v>
      </c>
      <c r="I924" t="s">
        <v>850</v>
      </c>
      <c r="J924" t="s">
        <v>626</v>
      </c>
      <c r="K924" t="s">
        <v>738</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893</v>
      </c>
      <c r="J925" t="s">
        <v>626</v>
      </c>
      <c r="K925" t="s">
        <v>746</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809</v>
      </c>
      <c r="J926" t="s">
        <v>626</v>
      </c>
      <c r="K926" t="s">
        <v>729</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895</v>
      </c>
      <c r="J927" t="s">
        <v>626</v>
      </c>
      <c r="K927" t="s">
        <v>703</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747</v>
      </c>
      <c r="J928" t="s">
        <v>626</v>
      </c>
      <c r="K928" t="s">
        <v>711</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846</v>
      </c>
      <c r="J929" t="s">
        <v>626</v>
      </c>
      <c r="K929" t="s">
        <v>703</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626</v>
      </c>
      <c r="K930" t="s">
        <v>729</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753</v>
      </c>
      <c r="J931" t="s">
        <v>626</v>
      </c>
      <c r="K931" t="s">
        <v>703</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898</v>
      </c>
      <c r="J932" t="s">
        <v>626</v>
      </c>
      <c r="K932" t="s">
        <v>746</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626</v>
      </c>
      <c r="K933" t="s">
        <v>703</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749</v>
      </c>
      <c r="J934" t="s">
        <v>626</v>
      </c>
      <c r="K934" t="s">
        <v>741</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880</v>
      </c>
      <c r="J935" t="s">
        <v>626</v>
      </c>
      <c r="K935" t="s">
        <v>723</v>
      </c>
      <c r="L935">
        <v>20</v>
      </c>
      <c r="M935">
        <v>4</v>
      </c>
      <c r="N935">
        <v>15</v>
      </c>
      <c r="O935">
        <v>1374</v>
      </c>
      <c r="P935">
        <v>1374</v>
      </c>
      <c r="Q935" t="s">
        <v>937</v>
      </c>
    </row>
    <row r="936" spans="1:17" x14ac:dyDescent="0.3">
      <c r="A936">
        <v>555</v>
      </c>
      <c r="B936" t="s">
        <v>598</v>
      </c>
      <c r="C936">
        <v>56</v>
      </c>
      <c r="D936">
        <v>4</v>
      </c>
      <c r="E936" s="2">
        <v>45105</v>
      </c>
      <c r="F936" s="3">
        <v>0.50396990740740744</v>
      </c>
      <c r="G936" s="2">
        <v>45107</v>
      </c>
      <c r="H936" s="3">
        <v>0.74875000000000003</v>
      </c>
      <c r="I936" t="s">
        <v>490</v>
      </c>
      <c r="J936" t="s">
        <v>626</v>
      </c>
      <c r="K936" t="s">
        <v>746</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589</v>
      </c>
      <c r="J937" t="s">
        <v>626</v>
      </c>
      <c r="K937" t="s">
        <v>711</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904</v>
      </c>
      <c r="J938" t="s">
        <v>626</v>
      </c>
      <c r="K938" t="s">
        <v>723</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626</v>
      </c>
      <c r="K939" t="s">
        <v>746</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883</v>
      </c>
      <c r="J940" t="s">
        <v>626</v>
      </c>
      <c r="K940" t="s">
        <v>738</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858</v>
      </c>
      <c r="J941" t="s">
        <v>626</v>
      </c>
      <c r="K941" t="s">
        <v>729</v>
      </c>
      <c r="L941">
        <v>16</v>
      </c>
      <c r="M941">
        <v>4</v>
      </c>
      <c r="N941">
        <v>19</v>
      </c>
      <c r="O941">
        <v>1272</v>
      </c>
      <c r="P941">
        <v>5088</v>
      </c>
      <c r="Q941" t="s">
        <v>940</v>
      </c>
    </row>
    <row r="942" spans="1:17" x14ac:dyDescent="0.3">
      <c r="A942">
        <v>589</v>
      </c>
      <c r="B942" t="s">
        <v>557</v>
      </c>
      <c r="C942">
        <v>40</v>
      </c>
      <c r="D942">
        <v>3</v>
      </c>
      <c r="E942" s="2">
        <v>45269</v>
      </c>
      <c r="F942" s="3">
        <v>0.89116898148148149</v>
      </c>
      <c r="G942" s="2">
        <v>45279</v>
      </c>
      <c r="H942" s="3">
        <v>5.6643518518518517E-2</v>
      </c>
      <c r="I942" t="s">
        <v>805</v>
      </c>
      <c r="J942" t="s">
        <v>626</v>
      </c>
      <c r="K942" t="s">
        <v>711</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744</v>
      </c>
      <c r="J943" t="s">
        <v>626</v>
      </c>
      <c r="K943" t="s">
        <v>741</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761</v>
      </c>
      <c r="J944" t="s">
        <v>626</v>
      </c>
      <c r="K944" t="s">
        <v>717</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807</v>
      </c>
      <c r="J945" t="s">
        <v>626</v>
      </c>
      <c r="K945" t="s">
        <v>717</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883</v>
      </c>
      <c r="J946" t="s">
        <v>626</v>
      </c>
      <c r="K946" t="s">
        <v>738</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871</v>
      </c>
      <c r="J947" t="s">
        <v>626</v>
      </c>
      <c r="K947" t="s">
        <v>703</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854</v>
      </c>
      <c r="J948" t="s">
        <v>626</v>
      </c>
      <c r="K948" t="s">
        <v>729</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863</v>
      </c>
      <c r="J949" t="s">
        <v>626</v>
      </c>
      <c r="K949" t="s">
        <v>717</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626</v>
      </c>
      <c r="K950" t="s">
        <v>729</v>
      </c>
      <c r="L950">
        <v>14</v>
      </c>
      <c r="M950">
        <v>10</v>
      </c>
      <c r="N950">
        <v>11</v>
      </c>
      <c r="O950">
        <v>1374</v>
      </c>
      <c r="P950">
        <v>1374</v>
      </c>
      <c r="Q950" t="s">
        <v>938</v>
      </c>
    </row>
    <row r="951" spans="1:17" x14ac:dyDescent="0.3">
      <c r="A951">
        <v>663</v>
      </c>
      <c r="B951" t="s">
        <v>563</v>
      </c>
      <c r="C951">
        <v>15</v>
      </c>
      <c r="D951">
        <v>2</v>
      </c>
      <c r="E951" s="2">
        <v>45210</v>
      </c>
      <c r="F951" s="3">
        <v>0.61606481481481479</v>
      </c>
      <c r="G951" s="2">
        <v>45211</v>
      </c>
      <c r="H951" s="3">
        <v>0.9389467592592593</v>
      </c>
      <c r="I951" t="s">
        <v>858</v>
      </c>
      <c r="J951" t="s">
        <v>626</v>
      </c>
      <c r="K951" t="s">
        <v>738</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626</v>
      </c>
      <c r="K952" t="s">
        <v>746</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744</v>
      </c>
      <c r="J953" t="s">
        <v>626</v>
      </c>
      <c r="K953" t="s">
        <v>738</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765</v>
      </c>
      <c r="J954" t="s">
        <v>626</v>
      </c>
      <c r="K954" t="s">
        <v>711</v>
      </c>
      <c r="L954">
        <v>22</v>
      </c>
      <c r="M954">
        <v>6</v>
      </c>
      <c r="N954">
        <v>2</v>
      </c>
      <c r="O954">
        <v>1272</v>
      </c>
      <c r="P954">
        <v>1272</v>
      </c>
      <c r="Q954" t="s">
        <v>936</v>
      </c>
    </row>
    <row r="955" spans="1:17" x14ac:dyDescent="0.3">
      <c r="A955">
        <v>681</v>
      </c>
      <c r="B955" t="s">
        <v>587</v>
      </c>
      <c r="C955">
        <v>23</v>
      </c>
      <c r="D955">
        <v>5</v>
      </c>
      <c r="E955" s="2">
        <v>44955</v>
      </c>
      <c r="F955" s="3">
        <v>0.42229166666666668</v>
      </c>
      <c r="G955" s="2">
        <v>44962</v>
      </c>
      <c r="H955" s="3">
        <v>0.50101851851851853</v>
      </c>
      <c r="I955" t="s">
        <v>862</v>
      </c>
      <c r="J955" t="s">
        <v>626</v>
      </c>
      <c r="K955" t="s">
        <v>741</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805</v>
      </c>
      <c r="J956" t="s">
        <v>626</v>
      </c>
      <c r="K956" t="s">
        <v>741</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725</v>
      </c>
      <c r="J957" t="s">
        <v>626</v>
      </c>
      <c r="K957" t="s">
        <v>723</v>
      </c>
      <c r="L957">
        <v>19</v>
      </c>
      <c r="M957">
        <v>6</v>
      </c>
      <c r="N957">
        <v>16</v>
      </c>
      <c r="O957">
        <v>1098</v>
      </c>
      <c r="P957">
        <v>2196</v>
      </c>
      <c r="Q957" t="s">
        <v>936</v>
      </c>
    </row>
    <row r="958" spans="1:17" x14ac:dyDescent="0.3">
      <c r="A958">
        <v>706</v>
      </c>
      <c r="B958" t="s">
        <v>546</v>
      </c>
      <c r="C958">
        <v>67</v>
      </c>
      <c r="D958">
        <v>2</v>
      </c>
      <c r="E958" s="2">
        <v>45042</v>
      </c>
      <c r="F958" s="3">
        <v>0.23276620370370371</v>
      </c>
      <c r="G958" s="2">
        <v>45050</v>
      </c>
      <c r="H958" s="3">
        <v>0.55081018518518521</v>
      </c>
      <c r="I958" t="s">
        <v>69</v>
      </c>
      <c r="J958" t="s">
        <v>626</v>
      </c>
      <c r="K958" t="s">
        <v>723</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801</v>
      </c>
      <c r="J959" t="s">
        <v>626</v>
      </c>
      <c r="K959" t="s">
        <v>717</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919</v>
      </c>
      <c r="J960" t="s">
        <v>626</v>
      </c>
      <c r="K960" t="s">
        <v>746</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787</v>
      </c>
      <c r="J961" t="s">
        <v>626</v>
      </c>
      <c r="K961" t="s">
        <v>729</v>
      </c>
      <c r="L961">
        <v>7</v>
      </c>
      <c r="M961">
        <v>3</v>
      </c>
      <c r="N961">
        <v>13</v>
      </c>
      <c r="O961">
        <v>758</v>
      </c>
      <c r="P961">
        <v>3790</v>
      </c>
      <c r="Q961" t="s">
        <v>942</v>
      </c>
    </row>
    <row r="962" spans="1:17" x14ac:dyDescent="0.3">
      <c r="A962">
        <v>749</v>
      </c>
      <c r="B962" t="s">
        <v>593</v>
      </c>
      <c r="C962">
        <v>12</v>
      </c>
      <c r="D962">
        <v>2</v>
      </c>
      <c r="E962" s="2">
        <v>45096</v>
      </c>
      <c r="F962" s="3">
        <v>0.5508912037037037</v>
      </c>
      <c r="G962" s="2">
        <v>45101</v>
      </c>
      <c r="H962" s="3">
        <v>0.15084490740740741</v>
      </c>
      <c r="I962" t="s">
        <v>716</v>
      </c>
      <c r="J962" t="s">
        <v>626</v>
      </c>
      <c r="K962" t="s">
        <v>746</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734</v>
      </c>
      <c r="J963" t="s">
        <v>626</v>
      </c>
      <c r="K963" t="s">
        <v>723</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626</v>
      </c>
      <c r="K964" t="s">
        <v>738</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626</v>
      </c>
      <c r="K965" t="s">
        <v>717</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843</v>
      </c>
      <c r="J966" t="s">
        <v>626</v>
      </c>
      <c r="K966" t="s">
        <v>717</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850</v>
      </c>
      <c r="J967" t="s">
        <v>626</v>
      </c>
      <c r="K967" t="s">
        <v>729</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827</v>
      </c>
      <c r="J968" t="s">
        <v>626</v>
      </c>
      <c r="K968" t="s">
        <v>746</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709</v>
      </c>
      <c r="J969" t="s">
        <v>626</v>
      </c>
      <c r="K969" t="s">
        <v>717</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626</v>
      </c>
      <c r="K970" t="s">
        <v>711</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864</v>
      </c>
      <c r="J971" t="s">
        <v>626</v>
      </c>
      <c r="K971" t="s">
        <v>711</v>
      </c>
      <c r="L971">
        <v>17</v>
      </c>
      <c r="M971">
        <v>2</v>
      </c>
      <c r="N971">
        <v>1</v>
      </c>
      <c r="O971">
        <v>1923</v>
      </c>
      <c r="P971">
        <v>3846</v>
      </c>
      <c r="Q971" t="s">
        <v>941</v>
      </c>
    </row>
    <row r="972" spans="1:17" x14ac:dyDescent="0.3">
      <c r="A972">
        <v>815</v>
      </c>
      <c r="B972" t="s">
        <v>587</v>
      </c>
      <c r="C972">
        <v>61</v>
      </c>
      <c r="D972">
        <v>3</v>
      </c>
      <c r="E972" s="2">
        <v>45198</v>
      </c>
      <c r="F972" s="3">
        <v>0.29737268518518517</v>
      </c>
      <c r="G972" s="2">
        <v>45207</v>
      </c>
      <c r="H972" s="3">
        <v>0.61548611111111107</v>
      </c>
      <c r="I972" t="s">
        <v>218</v>
      </c>
      <c r="J972" t="s">
        <v>626</v>
      </c>
      <c r="K972" t="s">
        <v>729</v>
      </c>
      <c r="L972">
        <v>7</v>
      </c>
      <c r="M972">
        <v>9</v>
      </c>
      <c r="N972">
        <v>14</v>
      </c>
      <c r="O972">
        <v>810</v>
      </c>
      <c r="P972">
        <v>2430</v>
      </c>
      <c r="Q972" t="s">
        <v>938</v>
      </c>
    </row>
    <row r="973" spans="1:17" x14ac:dyDescent="0.3">
      <c r="A973">
        <v>824</v>
      </c>
      <c r="B973" t="s">
        <v>581</v>
      </c>
      <c r="C973">
        <v>46</v>
      </c>
      <c r="D973">
        <v>4</v>
      </c>
      <c r="E973" s="2">
        <v>45052</v>
      </c>
      <c r="F973" s="3">
        <v>0.33068287037037036</v>
      </c>
      <c r="G973" s="2">
        <v>45053</v>
      </c>
      <c r="H973" s="3">
        <v>0.64157407407407407</v>
      </c>
      <c r="I973" t="s">
        <v>846</v>
      </c>
      <c r="J973" t="s">
        <v>626</v>
      </c>
      <c r="K973" t="s">
        <v>717</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536</v>
      </c>
      <c r="J974" t="s">
        <v>626</v>
      </c>
      <c r="K974" t="s">
        <v>746</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763</v>
      </c>
      <c r="J975" t="s">
        <v>626</v>
      </c>
      <c r="K975" t="s">
        <v>738</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626</v>
      </c>
      <c r="K976" t="s">
        <v>741</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885</v>
      </c>
      <c r="J977" t="s">
        <v>626</v>
      </c>
      <c r="K977" t="s">
        <v>717</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840</v>
      </c>
      <c r="J978" t="s">
        <v>626</v>
      </c>
      <c r="K978" t="s">
        <v>741</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820</v>
      </c>
      <c r="J979" t="s">
        <v>626</v>
      </c>
      <c r="K979" t="s">
        <v>711</v>
      </c>
      <c r="L979">
        <v>17</v>
      </c>
      <c r="M979">
        <v>3</v>
      </c>
      <c r="N979">
        <v>2</v>
      </c>
      <c r="O979">
        <v>758</v>
      </c>
      <c r="P979">
        <v>1516</v>
      </c>
      <c r="Q979" t="s">
        <v>938</v>
      </c>
    </row>
    <row r="980" spans="1:17" x14ac:dyDescent="0.3">
      <c r="A980">
        <v>863</v>
      </c>
      <c r="B980" t="s">
        <v>593</v>
      </c>
      <c r="C980">
        <v>20</v>
      </c>
      <c r="D980">
        <v>3</v>
      </c>
      <c r="E980" s="2">
        <v>45082</v>
      </c>
      <c r="F980" s="3">
        <v>0.39449074074074075</v>
      </c>
      <c r="G980" s="2">
        <v>45092</v>
      </c>
      <c r="H980" s="3">
        <v>0.13408564814814813</v>
      </c>
      <c r="I980" t="s">
        <v>898</v>
      </c>
      <c r="J980" t="s">
        <v>626</v>
      </c>
      <c r="K980" t="s">
        <v>746</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866</v>
      </c>
      <c r="J981" t="s">
        <v>626</v>
      </c>
      <c r="K981" t="s">
        <v>746</v>
      </c>
      <c r="L981">
        <v>6</v>
      </c>
      <c r="M981">
        <v>4</v>
      </c>
      <c r="N981">
        <v>20</v>
      </c>
      <c r="O981">
        <v>1488</v>
      </c>
      <c r="P981">
        <v>1488</v>
      </c>
      <c r="Q981" t="s">
        <v>939</v>
      </c>
    </row>
    <row r="982" spans="1:17" x14ac:dyDescent="0.3">
      <c r="A982">
        <v>894</v>
      </c>
      <c r="B982" t="s">
        <v>552</v>
      </c>
      <c r="C982">
        <v>54</v>
      </c>
      <c r="D982">
        <v>4</v>
      </c>
      <c r="E982" s="2">
        <v>45213</v>
      </c>
      <c r="F982" s="3">
        <v>0.5873032407407407</v>
      </c>
      <c r="G982" s="2">
        <v>45220</v>
      </c>
      <c r="H982" s="3">
        <v>0.96552083333333338</v>
      </c>
      <c r="I982" t="s">
        <v>832</v>
      </c>
      <c r="J982" t="s">
        <v>626</v>
      </c>
      <c r="K982" t="s">
        <v>738</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757</v>
      </c>
      <c r="J983" t="s">
        <v>626</v>
      </c>
      <c r="K983" t="s">
        <v>723</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772</v>
      </c>
      <c r="J984" t="s">
        <v>626</v>
      </c>
      <c r="K984" t="s">
        <v>723</v>
      </c>
      <c r="L984">
        <v>21</v>
      </c>
      <c r="M984">
        <v>6</v>
      </c>
      <c r="N984">
        <v>11</v>
      </c>
      <c r="O984">
        <v>751</v>
      </c>
      <c r="P984">
        <v>1502</v>
      </c>
      <c r="Q984" t="s">
        <v>937</v>
      </c>
    </row>
    <row r="985" spans="1:17" x14ac:dyDescent="0.3">
      <c r="A985">
        <v>913</v>
      </c>
      <c r="B985" t="s">
        <v>552</v>
      </c>
      <c r="C985">
        <v>56</v>
      </c>
      <c r="D985">
        <v>5</v>
      </c>
      <c r="E985" s="2">
        <v>45270</v>
      </c>
      <c r="F985" s="3">
        <v>0.77736111111111106</v>
      </c>
      <c r="G985" s="2">
        <v>45272</v>
      </c>
      <c r="H985" s="3">
        <v>0.2341087962962963</v>
      </c>
      <c r="I985" t="s">
        <v>330</v>
      </c>
      <c r="J985" t="s">
        <v>626</v>
      </c>
      <c r="K985" t="s">
        <v>711</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816</v>
      </c>
      <c r="J986" t="s">
        <v>626</v>
      </c>
      <c r="K986" t="s">
        <v>741</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868</v>
      </c>
      <c r="J987" t="s">
        <v>626</v>
      </c>
      <c r="K987" t="s">
        <v>729</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768</v>
      </c>
      <c r="J988" t="s">
        <v>626</v>
      </c>
      <c r="K988" t="s">
        <v>711</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626</v>
      </c>
      <c r="K989" t="s">
        <v>746</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626</v>
      </c>
      <c r="K990" t="s">
        <v>711</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761</v>
      </c>
      <c r="J991" t="s">
        <v>626</v>
      </c>
      <c r="K991" t="s">
        <v>729</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626</v>
      </c>
      <c r="K992" t="s">
        <v>711</v>
      </c>
      <c r="L992">
        <v>1</v>
      </c>
      <c r="M992">
        <v>2</v>
      </c>
      <c r="N992">
        <v>21</v>
      </c>
      <c r="O992">
        <v>1098</v>
      </c>
      <c r="P992">
        <v>1098</v>
      </c>
      <c r="Q992" t="s">
        <v>938</v>
      </c>
    </row>
    <row r="993" spans="1:17" x14ac:dyDescent="0.3">
      <c r="A993">
        <v>959</v>
      </c>
      <c r="B993" t="s">
        <v>587</v>
      </c>
      <c r="C993">
        <v>40</v>
      </c>
      <c r="D993">
        <v>1</v>
      </c>
      <c r="E993" s="2">
        <v>45281</v>
      </c>
      <c r="F993" s="3">
        <v>7.9699074074074075E-2</v>
      </c>
      <c r="G993" s="2">
        <v>45286</v>
      </c>
      <c r="H993" s="3">
        <v>0.87899305555555551</v>
      </c>
      <c r="I993" t="s">
        <v>843</v>
      </c>
      <c r="J993" t="s">
        <v>626</v>
      </c>
      <c r="K993" t="s">
        <v>711</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626</v>
      </c>
      <c r="K994" t="s">
        <v>729</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791</v>
      </c>
      <c r="J995" t="s">
        <v>626</v>
      </c>
      <c r="K995" t="s">
        <v>723</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804</v>
      </c>
      <c r="J996" t="s">
        <v>626</v>
      </c>
      <c r="K996" t="s">
        <v>723</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915</v>
      </c>
      <c r="J997" t="s">
        <v>626</v>
      </c>
      <c r="K997" t="s">
        <v>717</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830</v>
      </c>
      <c r="J998" t="s">
        <v>626</v>
      </c>
      <c r="K998" t="s">
        <v>729</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822</v>
      </c>
      <c r="J999" t="s">
        <v>626</v>
      </c>
      <c r="K999" t="s">
        <v>723</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777</v>
      </c>
      <c r="J1000" t="s">
        <v>626</v>
      </c>
      <c r="K1000" t="s">
        <v>738</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750</v>
      </c>
      <c r="J1001" t="s">
        <v>626</v>
      </c>
      <c r="K1001" t="s">
        <v>717</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01AE-67EC-46E3-B63F-65C8A42ED0A2}">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604</v>
      </c>
      <c r="B1" t="s">
        <v>605</v>
      </c>
      <c r="C1" t="s">
        <v>606</v>
      </c>
      <c r="D1" t="s">
        <v>607</v>
      </c>
      <c r="E1" t="s">
        <v>608</v>
      </c>
    </row>
    <row r="2" spans="1:5" x14ac:dyDescent="0.3">
      <c r="A2">
        <v>1</v>
      </c>
      <c r="B2" t="s">
        <v>609</v>
      </c>
      <c r="C2" t="s">
        <v>610</v>
      </c>
      <c r="D2">
        <v>1935</v>
      </c>
      <c r="E2" t="s">
        <v>611</v>
      </c>
    </row>
    <row r="3" spans="1:5" x14ac:dyDescent="0.3">
      <c r="A3">
        <v>2</v>
      </c>
      <c r="B3" t="s">
        <v>612</v>
      </c>
      <c r="C3" t="s">
        <v>613</v>
      </c>
      <c r="D3">
        <v>441</v>
      </c>
      <c r="E3" t="s">
        <v>614</v>
      </c>
    </row>
    <row r="4" spans="1:5" x14ac:dyDescent="0.3">
      <c r="A4">
        <v>3</v>
      </c>
      <c r="B4" t="s">
        <v>615</v>
      </c>
      <c r="C4" t="s">
        <v>616</v>
      </c>
      <c r="D4">
        <v>1534</v>
      </c>
      <c r="E4" t="s">
        <v>614</v>
      </c>
    </row>
    <row r="5" spans="1:5" x14ac:dyDescent="0.3">
      <c r="A5">
        <v>4</v>
      </c>
      <c r="B5" t="s">
        <v>617</v>
      </c>
      <c r="C5" t="s">
        <v>618</v>
      </c>
      <c r="D5">
        <v>1199</v>
      </c>
      <c r="E5" t="s">
        <v>619</v>
      </c>
    </row>
    <row r="6" spans="1:5" x14ac:dyDescent="0.3">
      <c r="A6">
        <v>5</v>
      </c>
      <c r="B6" t="s">
        <v>620</v>
      </c>
      <c r="C6" t="s">
        <v>616</v>
      </c>
      <c r="D6">
        <v>1444</v>
      </c>
      <c r="E6" t="s">
        <v>611</v>
      </c>
    </row>
    <row r="7" spans="1:5" x14ac:dyDescent="0.3">
      <c r="A7">
        <v>6</v>
      </c>
      <c r="B7" t="s">
        <v>621</v>
      </c>
      <c r="C7" t="s">
        <v>622</v>
      </c>
      <c r="D7">
        <v>1112</v>
      </c>
      <c r="E7" t="s">
        <v>623</v>
      </c>
    </row>
    <row r="8" spans="1:5" x14ac:dyDescent="0.3">
      <c r="A8">
        <v>7</v>
      </c>
      <c r="B8" t="s">
        <v>624</v>
      </c>
      <c r="C8" t="s">
        <v>610</v>
      </c>
      <c r="D8">
        <v>409</v>
      </c>
      <c r="E8" t="s">
        <v>623</v>
      </c>
    </row>
    <row r="9" spans="1:5" x14ac:dyDescent="0.3">
      <c r="A9">
        <v>8</v>
      </c>
      <c r="B9" t="s">
        <v>625</v>
      </c>
      <c r="C9" t="s">
        <v>618</v>
      </c>
      <c r="D9">
        <v>252</v>
      </c>
      <c r="E9" t="s">
        <v>626</v>
      </c>
    </row>
    <row r="10" spans="1:5" x14ac:dyDescent="0.3">
      <c r="A10">
        <v>9</v>
      </c>
      <c r="B10" t="s">
        <v>627</v>
      </c>
      <c r="C10" t="s">
        <v>616</v>
      </c>
      <c r="D10">
        <v>1605</v>
      </c>
      <c r="E10" t="s">
        <v>628</v>
      </c>
    </row>
    <row r="11" spans="1:5" x14ac:dyDescent="0.3">
      <c r="A11">
        <v>10</v>
      </c>
      <c r="B11" t="s">
        <v>629</v>
      </c>
      <c r="C11" t="s">
        <v>622</v>
      </c>
      <c r="D11">
        <v>259</v>
      </c>
      <c r="E11" t="s">
        <v>630</v>
      </c>
    </row>
    <row r="12" spans="1:5" x14ac:dyDescent="0.3">
      <c r="A12">
        <v>11</v>
      </c>
      <c r="B12" t="s">
        <v>631</v>
      </c>
      <c r="C12" t="s">
        <v>632</v>
      </c>
      <c r="D12">
        <v>1096</v>
      </c>
      <c r="E12" t="s">
        <v>614</v>
      </c>
    </row>
    <row r="13" spans="1:5" x14ac:dyDescent="0.3">
      <c r="A13">
        <v>12</v>
      </c>
      <c r="B13" t="s">
        <v>633</v>
      </c>
      <c r="C13" t="s">
        <v>613</v>
      </c>
      <c r="D13">
        <v>672</v>
      </c>
      <c r="E13" t="s">
        <v>626</v>
      </c>
    </row>
    <row r="14" spans="1:5" x14ac:dyDescent="0.3">
      <c r="A14">
        <v>13</v>
      </c>
      <c r="B14" t="s">
        <v>634</v>
      </c>
      <c r="C14" t="s">
        <v>632</v>
      </c>
      <c r="D14">
        <v>1141</v>
      </c>
      <c r="E14" t="s">
        <v>623</v>
      </c>
    </row>
    <row r="15" spans="1:5" x14ac:dyDescent="0.3">
      <c r="A15">
        <v>14</v>
      </c>
      <c r="B15" t="s">
        <v>635</v>
      </c>
      <c r="C15" t="s">
        <v>616</v>
      </c>
      <c r="D15">
        <v>1915</v>
      </c>
      <c r="E15" t="s">
        <v>630</v>
      </c>
    </row>
    <row r="16" spans="1:5" x14ac:dyDescent="0.3">
      <c r="A16">
        <v>15</v>
      </c>
      <c r="B16" t="s">
        <v>636</v>
      </c>
      <c r="C16" t="s">
        <v>628</v>
      </c>
      <c r="D16">
        <v>1488</v>
      </c>
      <c r="E16" t="s">
        <v>626</v>
      </c>
    </row>
    <row r="17" spans="1:5" x14ac:dyDescent="0.3">
      <c r="A17">
        <v>16</v>
      </c>
      <c r="B17" t="s">
        <v>637</v>
      </c>
      <c r="C17" t="s">
        <v>618</v>
      </c>
      <c r="D17">
        <v>1721</v>
      </c>
      <c r="E17" t="s">
        <v>623</v>
      </c>
    </row>
    <row r="18" spans="1:5" x14ac:dyDescent="0.3">
      <c r="A18">
        <v>17</v>
      </c>
      <c r="B18" t="s">
        <v>638</v>
      </c>
      <c r="C18" t="s">
        <v>610</v>
      </c>
      <c r="D18">
        <v>1899</v>
      </c>
      <c r="E18" t="s">
        <v>626</v>
      </c>
    </row>
    <row r="19" spans="1:5" x14ac:dyDescent="0.3">
      <c r="A19">
        <v>18</v>
      </c>
      <c r="B19" t="s">
        <v>639</v>
      </c>
      <c r="C19" t="s">
        <v>613</v>
      </c>
      <c r="D19">
        <v>781</v>
      </c>
      <c r="E19" t="s">
        <v>630</v>
      </c>
    </row>
    <row r="20" spans="1:5" x14ac:dyDescent="0.3">
      <c r="A20">
        <v>19</v>
      </c>
      <c r="B20" t="s">
        <v>640</v>
      </c>
      <c r="C20" t="s">
        <v>632</v>
      </c>
      <c r="D20">
        <v>1234</v>
      </c>
      <c r="E20" t="s">
        <v>614</v>
      </c>
    </row>
    <row r="21" spans="1:5" x14ac:dyDescent="0.3">
      <c r="A21">
        <v>20</v>
      </c>
      <c r="B21" t="s">
        <v>641</v>
      </c>
      <c r="C21" t="s">
        <v>616</v>
      </c>
      <c r="D21">
        <v>697</v>
      </c>
      <c r="E21" t="s">
        <v>626</v>
      </c>
    </row>
    <row r="22" spans="1:5" x14ac:dyDescent="0.3">
      <c r="A22">
        <v>21</v>
      </c>
      <c r="B22" t="s">
        <v>642</v>
      </c>
      <c r="C22" t="s">
        <v>616</v>
      </c>
      <c r="D22">
        <v>1561</v>
      </c>
      <c r="E22" t="s">
        <v>628</v>
      </c>
    </row>
    <row r="23" spans="1:5" x14ac:dyDescent="0.3">
      <c r="A23">
        <v>22</v>
      </c>
      <c r="B23" t="s">
        <v>643</v>
      </c>
      <c r="C23" t="s">
        <v>610</v>
      </c>
      <c r="D23">
        <v>1639</v>
      </c>
      <c r="E23" t="s">
        <v>611</v>
      </c>
    </row>
    <row r="24" spans="1:5" x14ac:dyDescent="0.3">
      <c r="A24">
        <v>23</v>
      </c>
      <c r="B24" t="s">
        <v>644</v>
      </c>
      <c r="C24" t="s">
        <v>618</v>
      </c>
      <c r="D24">
        <v>1098</v>
      </c>
      <c r="E24" t="s">
        <v>626</v>
      </c>
    </row>
    <row r="25" spans="1:5" x14ac:dyDescent="0.3">
      <c r="A25">
        <v>24</v>
      </c>
      <c r="B25" t="s">
        <v>645</v>
      </c>
      <c r="C25" t="s">
        <v>632</v>
      </c>
      <c r="D25">
        <v>535</v>
      </c>
      <c r="E25" t="s">
        <v>630</v>
      </c>
    </row>
    <row r="26" spans="1:5" x14ac:dyDescent="0.3">
      <c r="A26">
        <v>25</v>
      </c>
      <c r="B26" t="s">
        <v>646</v>
      </c>
      <c r="C26" t="s">
        <v>613</v>
      </c>
      <c r="D26">
        <v>1202</v>
      </c>
      <c r="E26" t="s">
        <v>626</v>
      </c>
    </row>
    <row r="27" spans="1:5" x14ac:dyDescent="0.3">
      <c r="A27">
        <v>26</v>
      </c>
      <c r="B27" t="s">
        <v>647</v>
      </c>
      <c r="C27" t="s">
        <v>616</v>
      </c>
      <c r="D27">
        <v>289</v>
      </c>
      <c r="E27" t="s">
        <v>623</v>
      </c>
    </row>
    <row r="28" spans="1:5" x14ac:dyDescent="0.3">
      <c r="A28">
        <v>27</v>
      </c>
      <c r="B28" t="s">
        <v>648</v>
      </c>
      <c r="C28" t="s">
        <v>622</v>
      </c>
      <c r="D28">
        <v>548</v>
      </c>
      <c r="E28" t="s">
        <v>628</v>
      </c>
    </row>
    <row r="29" spans="1:5" x14ac:dyDescent="0.3">
      <c r="A29">
        <v>28</v>
      </c>
      <c r="B29" t="s">
        <v>649</v>
      </c>
      <c r="C29" t="s">
        <v>618</v>
      </c>
      <c r="D29">
        <v>1778</v>
      </c>
      <c r="E29" t="s">
        <v>628</v>
      </c>
    </row>
    <row r="30" spans="1:5" x14ac:dyDescent="0.3">
      <c r="A30">
        <v>29</v>
      </c>
      <c r="B30" t="s">
        <v>650</v>
      </c>
      <c r="C30" t="s">
        <v>616</v>
      </c>
      <c r="D30">
        <v>1252</v>
      </c>
      <c r="E30" t="s">
        <v>623</v>
      </c>
    </row>
    <row r="31" spans="1:5" x14ac:dyDescent="0.3">
      <c r="A31">
        <v>30</v>
      </c>
      <c r="B31" t="s">
        <v>651</v>
      </c>
      <c r="C31" t="s">
        <v>616</v>
      </c>
      <c r="D31">
        <v>751</v>
      </c>
      <c r="E31" t="s">
        <v>626</v>
      </c>
    </row>
    <row r="32" spans="1:5" x14ac:dyDescent="0.3">
      <c r="A32">
        <v>31</v>
      </c>
      <c r="B32" t="s">
        <v>652</v>
      </c>
      <c r="C32" t="s">
        <v>616</v>
      </c>
      <c r="D32">
        <v>1804</v>
      </c>
      <c r="E32" t="s">
        <v>611</v>
      </c>
    </row>
    <row r="33" spans="1:5" x14ac:dyDescent="0.3">
      <c r="A33">
        <v>32</v>
      </c>
      <c r="B33" t="s">
        <v>653</v>
      </c>
      <c r="C33" t="s">
        <v>610</v>
      </c>
      <c r="D33">
        <v>1792</v>
      </c>
      <c r="E33" t="s">
        <v>630</v>
      </c>
    </row>
    <row r="34" spans="1:5" x14ac:dyDescent="0.3">
      <c r="A34">
        <v>33</v>
      </c>
      <c r="B34" t="s">
        <v>654</v>
      </c>
      <c r="C34" t="s">
        <v>616</v>
      </c>
      <c r="D34">
        <v>314</v>
      </c>
      <c r="E34" t="s">
        <v>614</v>
      </c>
    </row>
    <row r="35" spans="1:5" x14ac:dyDescent="0.3">
      <c r="A35">
        <v>34</v>
      </c>
      <c r="B35" t="s">
        <v>655</v>
      </c>
      <c r="C35" t="s">
        <v>610</v>
      </c>
      <c r="D35">
        <v>1335</v>
      </c>
      <c r="E35" t="s">
        <v>628</v>
      </c>
    </row>
    <row r="36" spans="1:5" x14ac:dyDescent="0.3">
      <c r="A36">
        <v>35</v>
      </c>
      <c r="B36" t="s">
        <v>656</v>
      </c>
      <c r="C36" t="s">
        <v>616</v>
      </c>
      <c r="D36">
        <v>1865</v>
      </c>
      <c r="E36" t="s">
        <v>623</v>
      </c>
    </row>
    <row r="37" spans="1:5" x14ac:dyDescent="0.3">
      <c r="A37">
        <v>36</v>
      </c>
      <c r="B37" t="s">
        <v>657</v>
      </c>
      <c r="C37" t="s">
        <v>613</v>
      </c>
      <c r="D37">
        <v>203</v>
      </c>
      <c r="E37" t="s">
        <v>630</v>
      </c>
    </row>
    <row r="38" spans="1:5" x14ac:dyDescent="0.3">
      <c r="A38">
        <v>37</v>
      </c>
      <c r="B38" t="s">
        <v>658</v>
      </c>
      <c r="C38" t="s">
        <v>616</v>
      </c>
      <c r="D38">
        <v>1428</v>
      </c>
      <c r="E38" t="s">
        <v>619</v>
      </c>
    </row>
    <row r="39" spans="1:5" x14ac:dyDescent="0.3">
      <c r="A39">
        <v>38</v>
      </c>
      <c r="B39" t="s">
        <v>659</v>
      </c>
      <c r="C39" t="s">
        <v>622</v>
      </c>
      <c r="D39">
        <v>562</v>
      </c>
      <c r="E39" t="s">
        <v>630</v>
      </c>
    </row>
    <row r="40" spans="1:5" x14ac:dyDescent="0.3">
      <c r="A40">
        <v>39</v>
      </c>
      <c r="B40" t="s">
        <v>660</v>
      </c>
      <c r="C40" t="s">
        <v>632</v>
      </c>
      <c r="D40">
        <v>387</v>
      </c>
      <c r="E40" t="s">
        <v>611</v>
      </c>
    </row>
    <row r="41" spans="1:5" x14ac:dyDescent="0.3">
      <c r="A41">
        <v>40</v>
      </c>
      <c r="B41" t="s">
        <v>661</v>
      </c>
      <c r="C41" t="s">
        <v>618</v>
      </c>
      <c r="D41">
        <v>1923</v>
      </c>
      <c r="E41" t="s">
        <v>626</v>
      </c>
    </row>
    <row r="42" spans="1:5" x14ac:dyDescent="0.3">
      <c r="A42">
        <v>41</v>
      </c>
      <c r="B42" t="s">
        <v>662</v>
      </c>
      <c r="C42" t="s">
        <v>618</v>
      </c>
      <c r="D42">
        <v>1977</v>
      </c>
      <c r="E42" t="s">
        <v>619</v>
      </c>
    </row>
    <row r="43" spans="1:5" x14ac:dyDescent="0.3">
      <c r="A43">
        <v>42</v>
      </c>
      <c r="B43" t="s">
        <v>663</v>
      </c>
      <c r="C43" t="s">
        <v>618</v>
      </c>
      <c r="D43">
        <v>1744</v>
      </c>
      <c r="E43" t="s">
        <v>611</v>
      </c>
    </row>
    <row r="44" spans="1:5" x14ac:dyDescent="0.3">
      <c r="A44">
        <v>43</v>
      </c>
      <c r="B44" t="s">
        <v>664</v>
      </c>
      <c r="C44" t="s">
        <v>628</v>
      </c>
      <c r="D44">
        <v>750</v>
      </c>
      <c r="E44" t="s">
        <v>619</v>
      </c>
    </row>
    <row r="45" spans="1:5" x14ac:dyDescent="0.3">
      <c r="A45">
        <v>44</v>
      </c>
      <c r="B45" t="s">
        <v>665</v>
      </c>
      <c r="C45" t="s">
        <v>613</v>
      </c>
      <c r="D45">
        <v>794</v>
      </c>
      <c r="E45" t="s">
        <v>619</v>
      </c>
    </row>
    <row r="46" spans="1:5" x14ac:dyDescent="0.3">
      <c r="A46">
        <v>45</v>
      </c>
      <c r="B46" t="s">
        <v>666</v>
      </c>
      <c r="C46" t="s">
        <v>628</v>
      </c>
      <c r="D46">
        <v>722</v>
      </c>
      <c r="E46" t="s">
        <v>630</v>
      </c>
    </row>
    <row r="47" spans="1:5" x14ac:dyDescent="0.3">
      <c r="A47">
        <v>46</v>
      </c>
      <c r="B47" t="s">
        <v>667</v>
      </c>
      <c r="C47" t="s">
        <v>622</v>
      </c>
      <c r="D47">
        <v>758</v>
      </c>
      <c r="E47" t="s">
        <v>626</v>
      </c>
    </row>
    <row r="48" spans="1:5" x14ac:dyDescent="0.3">
      <c r="A48">
        <v>47</v>
      </c>
      <c r="B48" t="s">
        <v>668</v>
      </c>
      <c r="C48" t="s">
        <v>616</v>
      </c>
      <c r="D48">
        <v>1638</v>
      </c>
      <c r="E48" t="s">
        <v>623</v>
      </c>
    </row>
    <row r="49" spans="1:5" x14ac:dyDescent="0.3">
      <c r="A49">
        <v>48</v>
      </c>
      <c r="B49" t="s">
        <v>669</v>
      </c>
      <c r="C49" t="s">
        <v>616</v>
      </c>
      <c r="D49">
        <v>433</v>
      </c>
      <c r="E49" t="s">
        <v>619</v>
      </c>
    </row>
    <row r="50" spans="1:5" x14ac:dyDescent="0.3">
      <c r="A50">
        <v>49</v>
      </c>
      <c r="B50" t="s">
        <v>670</v>
      </c>
      <c r="C50" t="s">
        <v>616</v>
      </c>
      <c r="D50">
        <v>903</v>
      </c>
      <c r="E50" t="s">
        <v>614</v>
      </c>
    </row>
    <row r="51" spans="1:5" x14ac:dyDescent="0.3">
      <c r="A51">
        <v>50</v>
      </c>
      <c r="B51" t="s">
        <v>671</v>
      </c>
      <c r="C51" t="s">
        <v>613</v>
      </c>
      <c r="D51">
        <v>422</v>
      </c>
      <c r="E51" t="s">
        <v>623</v>
      </c>
    </row>
    <row r="52" spans="1:5" x14ac:dyDescent="0.3">
      <c r="A52">
        <v>51</v>
      </c>
      <c r="B52" t="s">
        <v>672</v>
      </c>
      <c r="C52" t="s">
        <v>610</v>
      </c>
      <c r="D52">
        <v>1084</v>
      </c>
      <c r="E52" t="s">
        <v>611</v>
      </c>
    </row>
    <row r="53" spans="1:5" x14ac:dyDescent="0.3">
      <c r="A53">
        <v>52</v>
      </c>
      <c r="B53" t="s">
        <v>673</v>
      </c>
      <c r="C53" t="s">
        <v>628</v>
      </c>
      <c r="D53">
        <v>236</v>
      </c>
      <c r="E53" t="s">
        <v>614</v>
      </c>
    </row>
    <row r="54" spans="1:5" x14ac:dyDescent="0.3">
      <c r="A54">
        <v>53</v>
      </c>
      <c r="B54" t="s">
        <v>674</v>
      </c>
      <c r="C54" t="s">
        <v>618</v>
      </c>
      <c r="D54">
        <v>1672</v>
      </c>
      <c r="E54" t="s">
        <v>628</v>
      </c>
    </row>
    <row r="55" spans="1:5" x14ac:dyDescent="0.3">
      <c r="A55">
        <v>54</v>
      </c>
      <c r="B55" t="s">
        <v>675</v>
      </c>
      <c r="C55" t="s">
        <v>622</v>
      </c>
      <c r="D55">
        <v>1236</v>
      </c>
      <c r="E55" t="s">
        <v>626</v>
      </c>
    </row>
    <row r="56" spans="1:5" x14ac:dyDescent="0.3">
      <c r="A56">
        <v>55</v>
      </c>
      <c r="B56" t="s">
        <v>676</v>
      </c>
      <c r="C56" t="s">
        <v>610</v>
      </c>
      <c r="D56">
        <v>1904</v>
      </c>
      <c r="E56" t="s">
        <v>628</v>
      </c>
    </row>
    <row r="57" spans="1:5" x14ac:dyDescent="0.3">
      <c r="A57">
        <v>56</v>
      </c>
      <c r="B57" t="s">
        <v>642</v>
      </c>
      <c r="C57" t="s">
        <v>628</v>
      </c>
      <c r="D57">
        <v>1272</v>
      </c>
      <c r="E57" t="s">
        <v>626</v>
      </c>
    </row>
    <row r="58" spans="1:5" x14ac:dyDescent="0.3">
      <c r="A58">
        <v>57</v>
      </c>
      <c r="B58" t="s">
        <v>677</v>
      </c>
      <c r="C58" t="s">
        <v>616</v>
      </c>
      <c r="D58">
        <v>1582</v>
      </c>
      <c r="E58" t="s">
        <v>630</v>
      </c>
    </row>
    <row r="59" spans="1:5" x14ac:dyDescent="0.3">
      <c r="A59">
        <v>58</v>
      </c>
      <c r="B59" t="s">
        <v>678</v>
      </c>
      <c r="C59" t="s">
        <v>622</v>
      </c>
      <c r="D59">
        <v>1492</v>
      </c>
      <c r="E59" t="s">
        <v>614</v>
      </c>
    </row>
    <row r="60" spans="1:5" x14ac:dyDescent="0.3">
      <c r="A60">
        <v>59</v>
      </c>
      <c r="B60" t="s">
        <v>679</v>
      </c>
      <c r="C60" t="s">
        <v>622</v>
      </c>
      <c r="D60">
        <v>811</v>
      </c>
      <c r="E60" t="s">
        <v>628</v>
      </c>
    </row>
    <row r="61" spans="1:5" x14ac:dyDescent="0.3">
      <c r="A61">
        <v>60</v>
      </c>
      <c r="B61" t="s">
        <v>680</v>
      </c>
      <c r="C61" t="s">
        <v>618</v>
      </c>
      <c r="D61">
        <v>827</v>
      </c>
      <c r="E61" t="s">
        <v>619</v>
      </c>
    </row>
    <row r="62" spans="1:5" x14ac:dyDescent="0.3">
      <c r="A62">
        <v>61</v>
      </c>
      <c r="B62" t="s">
        <v>681</v>
      </c>
      <c r="C62" t="s">
        <v>613</v>
      </c>
      <c r="D62">
        <v>810</v>
      </c>
      <c r="E62" t="s">
        <v>626</v>
      </c>
    </row>
    <row r="63" spans="1:5" x14ac:dyDescent="0.3">
      <c r="A63">
        <v>62</v>
      </c>
      <c r="B63" t="s">
        <v>682</v>
      </c>
      <c r="C63" t="s">
        <v>616</v>
      </c>
      <c r="D63">
        <v>1356</v>
      </c>
      <c r="E63" t="s">
        <v>623</v>
      </c>
    </row>
    <row r="64" spans="1:5" x14ac:dyDescent="0.3">
      <c r="A64">
        <v>63</v>
      </c>
      <c r="B64" t="s">
        <v>683</v>
      </c>
      <c r="C64" t="s">
        <v>618</v>
      </c>
      <c r="D64">
        <v>1348</v>
      </c>
      <c r="E64" t="s">
        <v>611</v>
      </c>
    </row>
    <row r="65" spans="1:5" x14ac:dyDescent="0.3">
      <c r="A65">
        <v>64</v>
      </c>
      <c r="B65" t="s">
        <v>684</v>
      </c>
      <c r="C65" t="s">
        <v>610</v>
      </c>
      <c r="D65">
        <v>1878</v>
      </c>
      <c r="E65" t="s">
        <v>628</v>
      </c>
    </row>
    <row r="66" spans="1:5" x14ac:dyDescent="0.3">
      <c r="A66">
        <v>65</v>
      </c>
      <c r="B66" t="s">
        <v>685</v>
      </c>
      <c r="C66" t="s">
        <v>628</v>
      </c>
      <c r="D66">
        <v>1895</v>
      </c>
      <c r="E66" t="s">
        <v>611</v>
      </c>
    </row>
    <row r="67" spans="1:5" x14ac:dyDescent="0.3">
      <c r="A67">
        <v>66</v>
      </c>
      <c r="B67" t="s">
        <v>686</v>
      </c>
      <c r="C67" t="s">
        <v>616</v>
      </c>
      <c r="D67">
        <v>610</v>
      </c>
      <c r="E67" t="s">
        <v>623</v>
      </c>
    </row>
    <row r="68" spans="1:5" x14ac:dyDescent="0.3">
      <c r="A68">
        <v>67</v>
      </c>
      <c r="B68" t="s">
        <v>687</v>
      </c>
      <c r="C68" t="s">
        <v>628</v>
      </c>
      <c r="D68">
        <v>1374</v>
      </c>
      <c r="E68" t="s">
        <v>626</v>
      </c>
    </row>
    <row r="69" spans="1:5" x14ac:dyDescent="0.3">
      <c r="A69">
        <v>68</v>
      </c>
      <c r="B69" t="s">
        <v>688</v>
      </c>
      <c r="C69" t="s">
        <v>610</v>
      </c>
      <c r="D69">
        <v>597</v>
      </c>
      <c r="E69" t="s">
        <v>614</v>
      </c>
    </row>
    <row r="70" spans="1:5" x14ac:dyDescent="0.3">
      <c r="A70">
        <v>69</v>
      </c>
      <c r="B70" t="s">
        <v>689</v>
      </c>
      <c r="C70" t="s">
        <v>622</v>
      </c>
      <c r="D70">
        <v>998</v>
      </c>
      <c r="E70" t="s">
        <v>623</v>
      </c>
    </row>
    <row r="71" spans="1:5" x14ac:dyDescent="0.3">
      <c r="A71">
        <v>70</v>
      </c>
      <c r="B71" t="s">
        <v>685</v>
      </c>
      <c r="C71" t="s">
        <v>618</v>
      </c>
      <c r="D71">
        <v>866</v>
      </c>
      <c r="E71" t="s">
        <v>630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65AA-5E17-45EC-84A2-632934A5A9A8}">
  <dimension ref="B1:I39"/>
  <sheetViews>
    <sheetView workbookViewId="0">
      <selection activeCell="C5" sqref="C5"/>
    </sheetView>
  </sheetViews>
  <sheetFormatPr defaultRowHeight="14.4" x14ac:dyDescent="0.3"/>
  <cols>
    <col min="2" max="2" width="14.44140625" bestFit="1" customWidth="1"/>
    <col min="3" max="3" width="14.88671875" bestFit="1" customWidth="1"/>
    <col min="4" max="4" width="12.5546875" bestFit="1" customWidth="1"/>
    <col min="5" max="5" width="14.21875" bestFit="1" customWidth="1"/>
    <col min="6" max="6" width="16.44140625" bestFit="1" customWidth="1"/>
    <col min="7" max="7" width="14.88671875" bestFit="1" customWidth="1"/>
    <col min="8" max="8" width="27.109375" bestFit="1" customWidth="1"/>
    <col min="9" max="9" width="27" bestFit="1" customWidth="1"/>
    <col min="12" max="12" width="13.21875" bestFit="1" customWidth="1"/>
  </cols>
  <sheetData>
    <row r="1" spans="2:9" x14ac:dyDescent="0.3">
      <c r="B1" s="6" t="s">
        <v>932</v>
      </c>
      <c r="C1" s="7" t="s">
        <v>943</v>
      </c>
      <c r="F1" t="s">
        <v>950</v>
      </c>
      <c r="G1" s="7" t="s">
        <v>943</v>
      </c>
      <c r="H1" t="s">
        <v>944</v>
      </c>
      <c r="I1" t="s">
        <v>945</v>
      </c>
    </row>
    <row r="2" spans="2:9" x14ac:dyDescent="0.3">
      <c r="B2" s="8" t="s">
        <v>741</v>
      </c>
      <c r="C2" s="7">
        <v>34078</v>
      </c>
      <c r="F2" s="10">
        <v>990</v>
      </c>
      <c r="G2" s="7">
        <v>586176</v>
      </c>
      <c r="H2" s="10">
        <v>5.7222222222222223</v>
      </c>
      <c r="I2" s="11">
        <v>4652.1904999999997</v>
      </c>
    </row>
    <row r="3" spans="2:9" x14ac:dyDescent="0.3">
      <c r="B3" s="8" t="s">
        <v>702</v>
      </c>
      <c r="C3" s="7">
        <v>80152</v>
      </c>
    </row>
    <row r="4" spans="2:9" x14ac:dyDescent="0.3">
      <c r="B4" s="8" t="s">
        <v>715</v>
      </c>
      <c r="C4" s="7">
        <v>55334</v>
      </c>
    </row>
    <row r="5" spans="2:9" x14ac:dyDescent="0.3">
      <c r="B5" s="8" t="s">
        <v>723</v>
      </c>
      <c r="C5" s="7">
        <v>28983</v>
      </c>
      <c r="E5" s="6" t="s">
        <v>932</v>
      </c>
      <c r="F5" s="7" t="s">
        <v>943</v>
      </c>
    </row>
    <row r="6" spans="2:9" x14ac:dyDescent="0.3">
      <c r="B6" s="8" t="s">
        <v>717</v>
      </c>
      <c r="C6" s="7">
        <v>46378</v>
      </c>
      <c r="E6" s="8" t="s">
        <v>643</v>
      </c>
      <c r="F6" s="7">
        <v>96701</v>
      </c>
      <c r="H6" s="9">
        <f>CORREL(orders[Quantity],orders[diff_order_delivery])</f>
        <v>3.4781737193018245E-3</v>
      </c>
      <c r="I6" t="s">
        <v>947</v>
      </c>
    </row>
    <row r="7" spans="2:9" x14ac:dyDescent="0.3">
      <c r="B7" s="8" t="s">
        <v>746</v>
      </c>
      <c r="C7" s="7">
        <v>62662</v>
      </c>
      <c r="E7" s="8" t="s">
        <v>663</v>
      </c>
      <c r="F7" s="7">
        <v>88944</v>
      </c>
      <c r="I7" t="s">
        <v>948</v>
      </c>
    </row>
    <row r="8" spans="2:9" x14ac:dyDescent="0.3">
      <c r="B8" s="8" t="s">
        <v>703</v>
      </c>
      <c r="C8" s="7">
        <v>49120</v>
      </c>
      <c r="E8" s="8" t="s">
        <v>672</v>
      </c>
      <c r="F8" s="7">
        <v>68292</v>
      </c>
      <c r="I8" t="s">
        <v>949</v>
      </c>
    </row>
    <row r="9" spans="2:9" x14ac:dyDescent="0.3">
      <c r="B9" s="8" t="s">
        <v>713</v>
      </c>
      <c r="C9" s="7">
        <v>36883</v>
      </c>
      <c r="E9" s="8" t="s">
        <v>609</v>
      </c>
      <c r="F9" s="7">
        <v>121905</v>
      </c>
    </row>
    <row r="10" spans="2:9" x14ac:dyDescent="0.3">
      <c r="B10" s="8" t="s">
        <v>729</v>
      </c>
      <c r="C10" s="7">
        <v>42504</v>
      </c>
      <c r="E10" s="8" t="s">
        <v>652</v>
      </c>
      <c r="F10" s="7">
        <v>73964</v>
      </c>
    </row>
    <row r="11" spans="2:9" x14ac:dyDescent="0.3">
      <c r="B11" s="8" t="s">
        <v>738</v>
      </c>
      <c r="C11" s="7">
        <v>43773</v>
      </c>
      <c r="E11" s="8" t="s">
        <v>933</v>
      </c>
      <c r="F11" s="7">
        <v>449806</v>
      </c>
    </row>
    <row r="12" spans="2:9" x14ac:dyDescent="0.3">
      <c r="B12" s="8" t="s">
        <v>705</v>
      </c>
      <c r="C12" s="7">
        <v>42970</v>
      </c>
    </row>
    <row r="13" spans="2:9" x14ac:dyDescent="0.3">
      <c r="B13" s="8" t="s">
        <v>711</v>
      </c>
      <c r="C13" s="7">
        <v>63339</v>
      </c>
    </row>
    <row r="14" spans="2:9" x14ac:dyDescent="0.3">
      <c r="B14" s="8" t="s">
        <v>933</v>
      </c>
      <c r="C14" s="7">
        <v>586176</v>
      </c>
    </row>
    <row r="17" spans="2:9" x14ac:dyDescent="0.3">
      <c r="B17" s="6" t="s">
        <v>932</v>
      </c>
      <c r="C17" s="7" t="s">
        <v>943</v>
      </c>
      <c r="E17" s="6" t="s">
        <v>932</v>
      </c>
      <c r="F17" s="7" t="s">
        <v>946</v>
      </c>
      <c r="H17" s="6" t="s">
        <v>932</v>
      </c>
      <c r="I17" s="7" t="s">
        <v>943</v>
      </c>
    </row>
    <row r="18" spans="2:9" x14ac:dyDescent="0.3">
      <c r="B18" s="8" t="s">
        <v>616</v>
      </c>
      <c r="C18" s="7">
        <v>105732</v>
      </c>
      <c r="E18" s="8" t="s">
        <v>242</v>
      </c>
      <c r="F18" s="7">
        <v>3</v>
      </c>
      <c r="H18" s="8" t="s">
        <v>611</v>
      </c>
      <c r="I18" s="7">
        <v>586176</v>
      </c>
    </row>
    <row r="19" spans="2:9" x14ac:dyDescent="0.3">
      <c r="B19" s="8" t="s">
        <v>632</v>
      </c>
      <c r="C19" s="7">
        <v>11610</v>
      </c>
      <c r="E19" s="8" t="s">
        <v>330</v>
      </c>
      <c r="F19" s="7">
        <v>4</v>
      </c>
      <c r="H19" s="8" t="s">
        <v>626</v>
      </c>
      <c r="I19" s="7">
        <v>674634</v>
      </c>
    </row>
    <row r="20" spans="2:9" x14ac:dyDescent="0.3">
      <c r="B20" s="8" t="s">
        <v>628</v>
      </c>
      <c r="C20" s="7">
        <v>60640</v>
      </c>
      <c r="E20" s="8" t="s">
        <v>218</v>
      </c>
      <c r="F20" s="7">
        <v>3</v>
      </c>
      <c r="H20" s="8" t="s">
        <v>630</v>
      </c>
      <c r="I20" s="7">
        <v>408194</v>
      </c>
    </row>
    <row r="21" spans="2:9" x14ac:dyDescent="0.3">
      <c r="B21" s="8" t="s">
        <v>610</v>
      </c>
      <c r="C21" s="7">
        <v>286898</v>
      </c>
      <c r="E21" s="8" t="s">
        <v>152</v>
      </c>
      <c r="F21" s="7">
        <v>4</v>
      </c>
      <c r="H21" s="8" t="s">
        <v>619</v>
      </c>
      <c r="I21" s="7">
        <v>313783</v>
      </c>
    </row>
    <row r="22" spans="2:9" x14ac:dyDescent="0.3">
      <c r="B22" s="8" t="s">
        <v>618</v>
      </c>
      <c r="C22" s="7">
        <v>121296</v>
      </c>
      <c r="E22" s="8" t="s">
        <v>63</v>
      </c>
      <c r="F22" s="7">
        <v>3</v>
      </c>
      <c r="H22" s="8" t="s">
        <v>623</v>
      </c>
      <c r="I22" s="7">
        <v>574682</v>
      </c>
    </row>
    <row r="23" spans="2:9" x14ac:dyDescent="0.3">
      <c r="B23" s="8" t="s">
        <v>933</v>
      </c>
      <c r="C23" s="7">
        <v>586176</v>
      </c>
      <c r="E23" s="8" t="s">
        <v>362</v>
      </c>
      <c r="F23" s="7">
        <v>4</v>
      </c>
      <c r="H23" s="8" t="s">
        <v>628</v>
      </c>
      <c r="I23" s="7">
        <v>631585</v>
      </c>
    </row>
    <row r="24" spans="2:9" x14ac:dyDescent="0.3">
      <c r="E24" s="8" t="s">
        <v>158</v>
      </c>
      <c r="F24" s="7">
        <v>7</v>
      </c>
      <c r="H24" s="8" t="s">
        <v>614</v>
      </c>
      <c r="I24" s="7">
        <v>331930</v>
      </c>
    </row>
    <row r="25" spans="2:9" x14ac:dyDescent="0.3">
      <c r="E25" s="8" t="s">
        <v>318</v>
      </c>
      <c r="F25" s="7">
        <v>4</v>
      </c>
      <c r="H25" s="8" t="s">
        <v>933</v>
      </c>
      <c r="I25" s="7">
        <v>3520984</v>
      </c>
    </row>
    <row r="26" spans="2:9" x14ac:dyDescent="0.3">
      <c r="E26" s="8" t="s">
        <v>134</v>
      </c>
      <c r="F26" s="7">
        <v>5</v>
      </c>
    </row>
    <row r="27" spans="2:9" x14ac:dyDescent="0.3">
      <c r="E27" s="8" t="s">
        <v>508</v>
      </c>
      <c r="F27" s="7">
        <v>4</v>
      </c>
    </row>
    <row r="28" spans="2:9" x14ac:dyDescent="0.3">
      <c r="E28" s="8" t="s">
        <v>933</v>
      </c>
      <c r="F28" s="7">
        <v>41</v>
      </c>
    </row>
    <row r="31" spans="2:9" x14ac:dyDescent="0.3">
      <c r="B31" s="6" t="s">
        <v>932</v>
      </c>
      <c r="C31" s="7" t="s">
        <v>943</v>
      </c>
      <c r="E31" s="4" t="s">
        <v>932</v>
      </c>
      <c r="F31" t="s">
        <v>943</v>
      </c>
    </row>
    <row r="32" spans="2:9" x14ac:dyDescent="0.3">
      <c r="B32" s="8" t="s">
        <v>643</v>
      </c>
      <c r="C32" s="7">
        <v>96701</v>
      </c>
      <c r="E32" s="5" t="s">
        <v>939</v>
      </c>
      <c r="F32" s="11">
        <v>98772</v>
      </c>
    </row>
    <row r="33" spans="2:6" x14ac:dyDescent="0.3">
      <c r="B33" s="8" t="s">
        <v>663</v>
      </c>
      <c r="C33" s="7">
        <v>88944</v>
      </c>
      <c r="E33" s="5" t="s">
        <v>940</v>
      </c>
      <c r="F33" s="11">
        <v>64242</v>
      </c>
    </row>
    <row r="34" spans="2:6" x14ac:dyDescent="0.3">
      <c r="B34" s="8" t="s">
        <v>672</v>
      </c>
      <c r="C34" s="7">
        <v>68292</v>
      </c>
      <c r="E34" s="5" t="s">
        <v>941</v>
      </c>
      <c r="F34" s="11">
        <v>127438</v>
      </c>
    </row>
    <row r="35" spans="2:6" x14ac:dyDescent="0.3">
      <c r="B35" s="8" t="s">
        <v>609</v>
      </c>
      <c r="C35" s="7">
        <v>121905</v>
      </c>
      <c r="E35" s="5" t="s">
        <v>937</v>
      </c>
      <c r="F35" s="11">
        <v>97887</v>
      </c>
    </row>
    <row r="36" spans="2:6" x14ac:dyDescent="0.3">
      <c r="B36" s="8" t="s">
        <v>652</v>
      </c>
      <c r="C36" s="7">
        <v>73964</v>
      </c>
      <c r="E36" s="5" t="s">
        <v>942</v>
      </c>
      <c r="F36" s="11">
        <v>45964</v>
      </c>
    </row>
    <row r="37" spans="2:6" x14ac:dyDescent="0.3">
      <c r="B37" s="8" t="s">
        <v>933</v>
      </c>
      <c r="C37" s="7">
        <v>449806</v>
      </c>
      <c r="E37" s="5" t="s">
        <v>938</v>
      </c>
      <c r="F37" s="11">
        <v>88614</v>
      </c>
    </row>
    <row r="38" spans="2:6" x14ac:dyDescent="0.3">
      <c r="E38" s="5" t="s">
        <v>936</v>
      </c>
      <c r="F38" s="11">
        <v>63259</v>
      </c>
    </row>
    <row r="39" spans="2:6" x14ac:dyDescent="0.3">
      <c r="E39" s="5" t="s">
        <v>933</v>
      </c>
      <c r="F39" s="11">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A5B11-2635-4B10-A23E-2EFCA03BDB26}">
  <dimension ref="A2"/>
  <sheetViews>
    <sheetView tabSelected="1" zoomScale="80" zoomScaleNormal="80" workbookViewId="0">
      <selection activeCell="AC26" sqref="AC26"/>
    </sheetView>
  </sheetViews>
  <sheetFormatPr defaultRowHeight="14.4" x14ac:dyDescent="0.3"/>
  <cols>
    <col min="1" max="16384" width="8.88671875" style="12"/>
  </cols>
  <sheetData>
    <row r="2" s="1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68762B8-C8EE-4DB8-ACE0-5ABBADD30764}">
  <ds:schemaRefs/>
</ds:datastoreItem>
</file>

<file path=customXml/itemProps2.xml><?xml version="1.0" encoding="utf-8"?>
<ds:datastoreItem xmlns:ds="http://schemas.openxmlformats.org/officeDocument/2006/customXml" ds:itemID="{ECF48944-BFF3-4892-A81A-F3DDA40CA050}">
  <ds:schemaRefs/>
</ds:datastoreItem>
</file>

<file path=customXml/itemProps3.xml><?xml version="1.0" encoding="utf-8"?>
<ds:datastoreItem xmlns:ds="http://schemas.openxmlformats.org/officeDocument/2006/customXml" ds:itemID="{D0CA906B-8529-460D-9C91-5D589C3BEB97}">
  <ds:schemaRefs/>
</ds:datastoreItem>
</file>

<file path=customXml/itemProps4.xml><?xml version="1.0" encoding="utf-8"?>
<ds:datastoreItem xmlns:ds="http://schemas.openxmlformats.org/officeDocument/2006/customXml" ds:itemID="{73044702-35F0-4EE9-96A6-FA787B0C7C2F}">
  <ds:schemaRefs/>
</ds:datastoreItem>
</file>

<file path=customXml/itemProps5.xml><?xml version="1.0" encoding="utf-8"?>
<ds:datastoreItem xmlns:ds="http://schemas.openxmlformats.org/officeDocument/2006/customXml" ds:itemID="{84836997-6D1C-40A4-A90C-18CFAC17E025}">
  <ds:schemaRefs/>
</ds:datastoreItem>
</file>

<file path=customXml/itemProps6.xml><?xml version="1.0" encoding="utf-8"?>
<ds:datastoreItem xmlns:ds="http://schemas.openxmlformats.org/officeDocument/2006/customXml" ds:itemID="{AA7BC8C8-F754-42ED-8077-B5D42CE147FB}">
  <ds:schemaRefs/>
</ds:datastoreItem>
</file>

<file path=customXml/itemProps7.xml><?xml version="1.0" encoding="utf-8"?>
<ds:datastoreItem xmlns:ds="http://schemas.openxmlformats.org/officeDocument/2006/customXml" ds:itemID="{AA277268-6071-436F-8564-10B0DB0CBEB8}">
  <ds:schemaRefs/>
</ds:datastoreItem>
</file>

<file path=customXml/itemProps8.xml><?xml version="1.0" encoding="utf-8"?>
<ds:datastoreItem xmlns:ds="http://schemas.openxmlformats.org/officeDocument/2006/customXml" ds:itemID="{8A609DFD-471F-439D-BCA0-A278A612843E}">
  <ds:schemaRefs/>
</ds:datastoreItem>
</file>

<file path=customXml/itemProps9.xml><?xml version="1.0" encoding="utf-8"?>
<ds:datastoreItem xmlns:ds="http://schemas.openxmlformats.org/officeDocument/2006/customXml" ds:itemID="{85D20A36-A04C-46B7-9DBD-E7147A66BB4B}">
  <ds:schemaRefs/>
</ds:datastoreItem>
</file>

<file path=customXml/itemProps10.xml><?xml version="1.0" encoding="utf-8"?>
<ds:datastoreItem xmlns:ds="http://schemas.openxmlformats.org/officeDocument/2006/customXml" ds:itemID="{657FB8F9-ADFE-4194-8199-D624CAF2D200}">
  <ds:schemaRefs/>
</ds:datastoreItem>
</file>

<file path=customXml/itemProps11.xml><?xml version="1.0" encoding="utf-8"?>
<ds:datastoreItem xmlns:ds="http://schemas.openxmlformats.org/officeDocument/2006/customXml" ds:itemID="{CD4594F8-6808-4DA5-9903-15C85BC8BD0B}">
  <ds:schemaRefs>
    <ds:schemaRef ds:uri="http://schemas.microsoft.com/DataMashup"/>
  </ds:schemaRefs>
</ds:datastoreItem>
</file>

<file path=customXml/itemProps12.xml><?xml version="1.0" encoding="utf-8"?>
<ds:datastoreItem xmlns:ds="http://schemas.openxmlformats.org/officeDocument/2006/customXml" ds:itemID="{CA036B5F-39E1-432B-A0C1-328872A1A2EC}">
  <ds:schemaRefs/>
</ds:datastoreItem>
</file>

<file path=customXml/itemProps13.xml><?xml version="1.0" encoding="utf-8"?>
<ds:datastoreItem xmlns:ds="http://schemas.openxmlformats.org/officeDocument/2006/customXml" ds:itemID="{C481ADD5-3043-44A0-8A2F-8727BE998A54}">
  <ds:schemaRefs/>
</ds:datastoreItem>
</file>

<file path=customXml/itemProps14.xml><?xml version="1.0" encoding="utf-8"?>
<ds:datastoreItem xmlns:ds="http://schemas.openxmlformats.org/officeDocument/2006/customXml" ds:itemID="{9E48EC42-3AA0-432F-82C2-8F70F270CE6C}">
  <ds:schemaRefs/>
</ds:datastoreItem>
</file>

<file path=customXml/itemProps15.xml><?xml version="1.0" encoding="utf-8"?>
<ds:datastoreItem xmlns:ds="http://schemas.openxmlformats.org/officeDocument/2006/customXml" ds:itemID="{FC245E27-438B-4AEA-91FD-B92B9380232D}">
  <ds:schemaRefs/>
</ds:datastoreItem>
</file>

<file path=customXml/itemProps16.xml><?xml version="1.0" encoding="utf-8"?>
<ds:datastoreItem xmlns:ds="http://schemas.openxmlformats.org/officeDocument/2006/customXml" ds:itemID="{7D80620B-EB18-45E6-AAD8-30BED3D653CB}">
  <ds:schemaRefs/>
</ds:datastoreItem>
</file>

<file path=customXml/itemProps17.xml><?xml version="1.0" encoding="utf-8"?>
<ds:datastoreItem xmlns:ds="http://schemas.openxmlformats.org/officeDocument/2006/customXml" ds:itemID="{47879667-0099-4CF1-A2F3-37D316A2E3EB}">
  <ds:schemaRefs/>
</ds:datastoreItem>
</file>

<file path=customXml/itemProps18.xml><?xml version="1.0" encoding="utf-8"?>
<ds:datastoreItem xmlns:ds="http://schemas.openxmlformats.org/officeDocument/2006/customXml" ds:itemID="{9C8E1FB5-6ED6-45B6-8E72-940EDE50FE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Ecommerce</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Devarun bharadwaj</dc:creator>
  <cp:lastModifiedBy>Devarun bharadwaj</cp:lastModifiedBy>
  <dcterms:created xsi:type="dcterms:W3CDTF">2026-02-13T10:55:44Z</dcterms:created>
  <dcterms:modified xsi:type="dcterms:W3CDTF">2026-02-16T11:56:40Z</dcterms:modified>
</cp:coreProperties>
</file>